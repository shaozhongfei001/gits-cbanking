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db86db419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23d0392b5e64685"/>
    <x:sheet xmlns:r="http://schemas.openxmlformats.org/officeDocument/2006/relationships" name="客户信息采集" sheetId="2" r:id="Rfeef63aea6784e32"/>
    <x:sheet xmlns:r="http://schemas.openxmlformats.org/officeDocument/2006/relationships" name="行业分析" sheetId="3" r:id="R661add08a6534b37"/>
    <x:sheet xmlns:r="http://schemas.openxmlformats.org/officeDocument/2006/relationships" name="需求方案产品映射" sheetId="4" r:id="R33d08899e22f4035"/>
    <x:sheet xmlns:r="http://schemas.openxmlformats.org/officeDocument/2006/relationships" name="专家协同单" sheetId="5" r:id="Re3a9ef78ec464679"/>
    <x:sheet xmlns:r="http://schemas.openxmlformats.org/officeDocument/2006/relationships" name="30_90_180计划" sheetId="6" r:id="Rd1d21409a028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4D78"/>
      <x:name val="Carlito"/>
    </x:font>
    <x:font>
      <x:b/>
      <x:sz val="11"/>
      <x:color rgb="FFFFFFFF"/>
      <x:name val="Carlito"/>
    </x:font>
    <x:font>
      <x:b/>
      <x:sz val="10"/>
      <x:color rgb="FF1F4D78"/>
      <x:name val="Carlito"/>
    </x:font>
    <x:font>
      <x:sz val="9"/>
      <x:color rgb="FF0B2545"/>
      <x:name val="Carlito"/>
    </x:font>
    <x:font>
      <x:b/>
      <x:sz val="9"/>
      <x:color rgb="FF1F4D78"/>
      <x:name val="Carlito"/>
    </x:font>
    <x:font>
      <x:b/>
      <x:sz val="12"/>
      <x:color rgb="FF0B2545"/>
      <x:name val="Carlito"/>
    </x:font>
    <x:font>
      <x:sz val="8"/>
      <x:color rgb="FF667085"/>
      <x:name val="Carlito"/>
    </x:font>
    <x:font>
      <x:b/>
      <x:sz val="11"/>
      <x:color rgb="FF0B2545"/>
      <x:name val="Carlito"/>
    </x:font>
    <x:font>
      <x:sz val="9"/>
      <x:color rgb="FF1F4D7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  <x:fill>
      <x:patternFill patternType="solid">
        <x:fgColor rgb="FFFFF8E7"/>
      </x:patternFill>
    </x:fill>
    <x:fill>
      <x:patternFill patternType="solid">
        <x:fgColor rgb="FFF4F7FB"/>
      </x:patternFill>
    </x:fill>
    <x:fill>
      <x:patternFill patternType="solid">
        <x:fgColor rgb="FFEAF3F8"/>
      </x:patternFill>
    </x:fill>
  </x:fills>
  <x:borders count="2">
    <x:border/>
    <x:border>
      <x:left style="thin">
        <x:color rgb="FFC9D2DF"/>
      </x:left>
      <x:right style="thin">
        <x:color rgb="FFC9D2DF"/>
      </x:right>
      <x:top style="thin">
        <x:color rgb="FFC9D2DF"/>
      </x:top>
      <x:bottom style="thin">
        <x:color rgb="FFC9D2DF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20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201" fontId="7" fillId="9" borderId="1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horizontal="center"/>
    </x:xf>
    <x:xf numFmtId="202" fontId="9" fillId="9" borderId="1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201" fontId="5" fillId="9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200" fontId="5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9" borderId="1" xfId="0" applyNumberFormat="1" applyFont="1" applyFill="1" applyBorder="1" applyAlignment="1">
      <x:alignment horizontal="center" vertical="center"/>
    </x:xf>
    <x:xf numFmtId="201" fontId="7" fillId="9" borderId="1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202" fontId="9" fillId="9" borderId="1" xfId="0" applyNumberFormat="1" applyFont="1" applyFill="1" applyBorder="1" applyAlignment="1">
      <x:alignment horizontal="center" vertical="center"/>
    </x:xf>
    <x:xf numFmtId="0" fontId="9" fillId="9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201" fontId="5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6442d58324119" /><Relationship Type="http://schemas.openxmlformats.org/officeDocument/2006/relationships/theme" Target="/xl/theme/theme1.xml" Id="R130ea85aee824203" /><Relationship Type="http://schemas.openxmlformats.org/officeDocument/2006/relationships/sharedStrings" Target="/xl/sharedStrings.xml" Id="R7ba6fdc67ec546d4" /><Relationship Type="http://schemas.openxmlformats.org/officeDocument/2006/relationships/worksheet" Target="/xl/worksheets/sheet1.xml" Id="Rc23d0392b5e64685" /><Relationship Type="http://schemas.openxmlformats.org/officeDocument/2006/relationships/worksheet" Target="/xl/worksheets/sheet2.xml" Id="Rfeef63aea6784e32" /><Relationship Type="http://schemas.openxmlformats.org/officeDocument/2006/relationships/worksheet" Target="/xl/worksheets/sheet3.xml" Id="R661add08a6534b37" /><Relationship Type="http://schemas.openxmlformats.org/officeDocument/2006/relationships/worksheet" Target="/xl/worksheets/sheet4.xml" Id="R33d08899e22f4035" /><Relationship Type="http://schemas.openxmlformats.org/officeDocument/2006/relationships/worksheet" Target="/xl/worksheets/sheet5.xml" Id="Re3a9ef78ec464679" /><Relationship Type="http://schemas.openxmlformats.org/officeDocument/2006/relationships/worksheet" Target="/xl/worksheets/sheet6.xml" Id="Rd1d21409a0284a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5" t="str">
        <x:v>对公客户首次拜访与综合服务｜五表联动作业工作簿</x:v>
      </x:c>
      <x:c r="B1" s="5"/>
      <x:c r="C1" s="5"/>
      <x:c r="D1" s="5"/>
      <x:c r="E1" s="5"/>
      <x:c r="F1" s="5"/>
      <x:c r="G1" s="5"/>
      <x:c r="H1" s="5"/>
    </x:row>
    <x:row r="2" ht="30" customHeight="1">
      <x:c r="A2" s="9" t="str">
        <x:v>黄色为人工输入；蓝色为自动计算/关联；所有对客内容须经过客户核验、专家设计和内部审批。V1.0｜2026-08-19</x:v>
      </x:c>
      <x:c r="B2" s="9"/>
      <x:c r="C2" s="9"/>
      <x:c r="D2" s="9"/>
      <x:c r="E2" s="9"/>
      <x:c r="F2" s="9"/>
      <x:c r="G2" s="9"/>
      <x:c r="H2" s="9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 ht="22" customHeight="1">
      <x:c r="A4" s="12" t="str">
        <x:v>1. 双版本、五闸门工作流</x:v>
      </x:c>
      <x:c r="B4" s="12"/>
      <x:c r="C4" s="12"/>
      <x:c r="D4" s="12"/>
      <x:c r="E4" s="12"/>
      <x:c r="F4" s="12"/>
      <x:c r="G4" s="12"/>
      <x:c r="H4" s="12"/>
    </x:row>
    <x:row r="5" ht="48" customHeight="1">
      <x:c r="A5" s="17" t="str">
        <x:v>闸门</x:v>
      </x:c>
      <x:c r="B5" s="17" t="str">
        <x:v>G0 证据准备</x:v>
      </x:c>
      <x:c r="C5" s="17" t="str">
        <x:v>G1 客户核验</x:v>
      </x:c>
      <x:c r="D5" s="17" t="str">
        <x:v>G2 专家设计</x:v>
      </x:c>
      <x:c r="E5" s="17" t="str">
        <x:v>G3 内部审批</x:v>
      </x:c>
      <x:c r="F5" s="17" t="str">
        <x:v>G4 对客确认</x:v>
      </x:c>
      <x:c r="G5" s="17" t="str">
        <x:v>G5 实施复盘</x:v>
      </x:c>
      <x:c r="H5" s="17" t="str">
        <x:v>输出</x:v>
      </x:c>
    </x:row>
    <x:row r="6" ht="48" customHeight="1">
      <x:c r="A6" s="61" t="str">
        <x:v>必须完成</x:v>
      </x:c>
      <x:c r="B6" s="61" t="str">
        <x:v>事实/假设分列；来源与数据缺口</x:v>
      </x:c>
      <x:c r="C6" s="61" t="str">
        <x:v>目标、事件、痛点、决策链、时限</x:v>
      </x:c>
      <x:c r="D6" s="61" t="str">
        <x:v>主备方案、条件、风险、价值</x:v>
      </x:c>
      <x:c r="E6" s="61" t="str">
        <x:v>产品/授信/价格/合规等权限审批</x:v>
      </x:c>
      <x:c r="F6" s="61" t="str">
        <x:v>统一口径、双方责任和下一步</x:v>
      </x:c>
      <x:c r="G6" s="61" t="str">
        <x:v>30/90/180天KPI与证据</x:v>
      </x:c>
      <x:c r="H6" s="61" t="str">
        <x:v>可追溯客户经营档案</x:v>
      </x:c>
    </x:row>
    <x:row r="7" ht="48" customHeight="1">
      <x:c r="A7" s="61" t="str">
        <x:v>内部工作版</x:v>
      </x:c>
      <x:c r="B7" s="61" t="str">
        <x:v>允许H假设</x:v>
      </x:c>
      <x:c r="C7" s="61" t="str">
        <x:v>转为C客户确认</x:v>
      </x:c>
      <x:c r="D7" s="61" t="str">
        <x:v>允许P待审批</x:v>
      </x:c>
      <x:c r="E7" s="61" t="str">
        <x:v>记录A已批准</x:v>
      </x:c>
      <x:c r="F7" s="61" t="str">
        <x:v>生成对客精简版</x:v>
      </x:c>
      <x:c r="G7" s="61" t="str">
        <x:v>保留问题与改进</x:v>
      </x:c>
      <x:c r="H7" s="61" t="str">
        <x:v>不得直接外发内部敏感判断</x:v>
      </x:c>
    </x:row>
    <x:row r="8" ht="48" customHeight="1">
      <x:c r="A8" s="61" t="str">
        <x:v>对客版本</x:v>
      </x:c>
      <x:c r="B8" s="61" t="str">
        <x:v>不出具</x:v>
      </x:c>
      <x:c r="C8" s="61" t="str">
        <x:v>仅呈现经核验事实</x:v>
      </x:c>
      <x:c r="D8" s="61" t="str">
        <x:v>呈现客户适用方案</x:v>
      </x:c>
      <x:c r="E8" s="61" t="str">
        <x:v>只按批准范围表述</x:v>
      </x:c>
      <x:c r="F8" s="61" t="str">
        <x:v>可正式交付</x:v>
      </x:c>
      <x:c r="G8" s="61" t="str">
        <x:v>共同复盘</x:v>
      </x:c>
      <x:c r="H8" s="61" t="str">
        <x:v>额度/价格/收益/时效以正式文件为准</x:v>
      </x:c>
    </x:row>
    <x:row r="9" ht="48" customHeight="1">
      <x:c r="A9" s="61" t="str">
        <x:v>状态标签</x:v>
      </x:c>
      <x:c r="B9" s="61" t="str">
        <x:v>F公开事实 / H假设</x:v>
      </x:c>
      <x:c r="C9" s="61" t="str">
        <x:v>C客户确认</x:v>
      </x:c>
      <x:c r="D9" s="61" t="str">
        <x:v>P待审批</x:v>
      </x:c>
      <x:c r="E9" s="61" t="str">
        <x:v>A已批准</x:v>
      </x:c>
      <x:c r="F9" s="61" t="str">
        <x:v>客户已确认</x:v>
      </x:c>
      <x:c r="G9" s="61" t="str">
        <x:v>完成/延期/变更</x:v>
      </x:c>
      <x:c r="H9" s="61" t="str">
        <x:v>每条记录保留来源和日期</x:v>
      </x:c>
    </x:row>
    <x:row r="10" ht="48" customHeight="1">
      <x:c r="A10" s="61" t="str">
        <x:v>责任</x:v>
      </x:c>
      <x:c r="B10" s="61" t="str">
        <x:v>客户经理</x:v>
      </x:c>
      <x:c r="C10" s="61" t="str">
        <x:v>客户经理</x:v>
      </x:c>
      <x:c r="D10" s="61" t="str">
        <x:v>牵头专家/产品经理</x:v>
      </x:c>
      <x:c r="E10" s="61" t="str">
        <x:v>有权审批部门</x:v>
      </x:c>
      <x:c r="F10" s="61" t="str">
        <x:v>客户经理+专家</x:v>
      </x:c>
      <x:c r="G10" s="61" t="str">
        <x:v>项目负责人</x:v>
      </x:c>
      <x:c r="H10" s="61" t="str">
        <x:v>按本行制度调整RACI</x:v>
      </x:c>
    </x:row>
    <x:row r="11">
      <x:c r="A11" s="60"/>
      <x:c r="B11" s="60"/>
      <x:c r="C11" s="60"/>
      <x:c r="D11" s="60"/>
      <x:c r="E11" s="60"/>
      <x:c r="F11" s="60"/>
      <x:c r="G11" s="60"/>
      <x:c r="H11" s="60"/>
    </x:row>
    <x:row r="12" ht="22" customHeight="1">
      <x:c r="A12" s="12" t="str">
        <x:v>2. 五张表如何联动</x:v>
      </x:c>
      <x:c r="B12" s="12"/>
      <x:c r="C12" s="12"/>
      <x:c r="D12" s="12"/>
      <x:c r="E12" s="12"/>
      <x:c r="F12" s="12"/>
      <x:c r="G12" s="12"/>
      <x:c r="H12" s="12"/>
    </x:row>
    <x:row r="13" ht="48" customHeight="1">
      <x:c r="A13" s="17" t="str">
        <x:v>顺序</x:v>
      </x:c>
      <x:c r="B13" s="17" t="str">
        <x:v>表单</x:v>
      </x:c>
      <x:c r="C13" s="17" t="str">
        <x:v>主键</x:v>
      </x:c>
      <x:c r="D13" s="17" t="str">
        <x:v>输入</x:v>
      </x:c>
      <x:c r="E13" s="17" t="str">
        <x:v>自动/关键输出</x:v>
      </x:c>
      <x:c r="F13" s="17" t="str">
        <x:v>流向</x:v>
      </x:c>
      <x:c r="G13" s="17" t="str">
        <x:v>完成标准</x:v>
      </x:c>
      <x:c r="H13" s="17" t="str">
        <x:v>建议责任人</x:v>
      </x:c>
    </x:row>
    <x:row r="14" ht="48" customHeight="1">
      <x:c r="A14" s="61" t="n">
        <x:v>1</x:v>
      </x:c>
      <x:c r="B14" s="61" t="str">
        <x:v>客户信息采集</x:v>
      </x:c>
      <x:c r="C14" s="61" t="str">
        <x:v>客户ID</x:v>
      </x:c>
      <x:c r="D14" s="61" t="str">
        <x:v>基本、战略、价值链、财务、合作、风险、证据</x:v>
      </x:c>
      <x:c r="E14" s="61" t="str">
        <x:v>完整度与关键缺口</x:v>
      </x:c>
      <x:c r="F14" s="61" t="str">
        <x:v>行业分析/映射</x:v>
      </x:c>
      <x:c r="G14" s="61" t="str">
        <x:v>关键字段有状态、来源和时点</x:v>
      </x:c>
      <x:c r="H14" s="61" t="str">
        <x:v>客户经理</x:v>
      </x:c>
    </x:row>
    <x:row r="15" ht="48" customHeight="1">
      <x:c r="A15" s="61" t="n">
        <x:v>2</x:v>
      </x:c>
      <x:c r="B15" s="61" t="str">
        <x:v>行业分析</x:v>
      </x:c>
      <x:c r="C15" s="61" t="str">
        <x:v>客户ID+行业</x:v>
      </x:c>
      <x:c r="D15" s="61" t="str">
        <x:v>行业驱动、指标、风险、客户差异</x:v>
      </x:c>
      <x:c r="E15" s="61" t="str">
        <x:v>综合评分/服务切入点</x:v>
      </x:c>
      <x:c r="F15" s="61" t="str">
        <x:v>需求映射</x:v>
      </x:c>
      <x:c r="G15" s="61" t="str">
        <x:v>行业结论能解释客户差异</x:v>
      </x:c>
      <x:c r="H15" s="61" t="str">
        <x:v>行业专家</x:v>
      </x:c>
    </x:row>
    <x:row r="16" ht="48" customHeight="1">
      <x:c r="A16" s="61" t="n">
        <x:v>3</x:v>
      </x:c>
      <x:c r="B16" s="61" t="str">
        <x:v>需求方案产品映射</x:v>
      </x:c>
      <x:c r="C16" s="61" t="str">
        <x:v>需求ID/映射ID</x:v>
      </x:c>
      <x:c r="D16" s="61" t="str">
        <x:v>目标、痛点、优先级、方案和产品</x:v>
      </x:c>
      <x:c r="E16" s="61" t="str">
        <x:v>优先分、P1/P2/P3</x:v>
      </x:c>
      <x:c r="F16" s="61" t="str">
        <x:v>专家协同/实施</x:v>
      </x:c>
      <x:c r="G16" s="61" t="str">
        <x:v>每项产品都有需求、条件、价值、责任</x:v>
      </x:c>
      <x:c r="H16" s="61" t="str">
        <x:v>客户经理+产品经理</x:v>
      </x:c>
    </x:row>
    <x:row r="17" ht="48" customHeight="1">
      <x:c r="A17" s="61" t="n">
        <x:v>4</x:v>
      </x:c>
      <x:c r="B17" s="61" t="str">
        <x:v>专家协同单</x:v>
      </x:c>
      <x:c r="C17" s="61" t="str">
        <x:v>协同单号</x:v>
      </x:c>
      <x:c r="D17" s="61" t="str">
        <x:v>问题、交付物、专家、资料、结论</x:v>
      </x:c>
      <x:c r="E17" s="61" t="str">
        <x:v>逾期状态</x:v>
      </x:c>
      <x:c r="F17" s="61" t="str">
        <x:v>映射/实施</x:v>
      </x:c>
      <x:c r="G17" s="61" t="str">
        <x:v>统一对客口径并完成复核</x:v>
      </x:c>
      <x:c r="H17" s="61" t="str">
        <x:v>牵头专家</x:v>
      </x:c>
    </x:row>
    <x:row r="18" ht="48" customHeight="1">
      <x:c r="A18" s="61" t="n">
        <x:v>5</x:v>
      </x:c>
      <x:c r="B18" s="61" t="str">
        <x:v>30/90/180计划</x:v>
      </x:c>
      <x:c r="C18" s="61" t="str">
        <x:v>行动ID</x:v>
      </x:c>
      <x:c r="D18" s="61" t="str">
        <x:v>里程碑、任务、责任、日期、KPI、风险</x:v>
      </x:c>
      <x:c r="E18" s="61" t="str">
        <x:v>逾期、完成率、阶段统计</x:v>
      </x:c>
      <x:c r="F18" s="61" t="str">
        <x:v>复盘/续作</x:v>
      </x:c>
      <x:c r="G18" s="61" t="str">
        <x:v>有证据、有责任、有升级决定</x:v>
      </x:c>
      <x:c r="H18" s="61" t="str">
        <x:v>项目负责人</x:v>
      </x:c>
    </x:row>
    <x:row r="19">
      <x:c r="A19" s="60"/>
      <x:c r="B19" s="60"/>
      <x:c r="C19" s="60"/>
      <x:c r="D19" s="60"/>
      <x:c r="E19" s="60"/>
      <x:c r="F19" s="60"/>
      <x:c r="G19" s="60"/>
      <x:c r="H19" s="60"/>
    </x:row>
    <x:row r="20" ht="22" customHeight="1">
      <x:c r="A20" s="12" t="str">
        <x:v>3. 使用纪律与本行本地化</x:v>
      </x:c>
      <x:c r="B20" s="12"/>
      <x:c r="C20" s="12"/>
      <x:c r="D20" s="12"/>
      <x:c r="E20" s="12"/>
      <x:c r="F20" s="12"/>
      <x:c r="G20" s="12"/>
      <x:c r="H20" s="12"/>
    </x:row>
    <x:row r="21" ht="38" customHeight="1">
      <x:c r="A21" s="17" t="str">
        <x:v>主题</x:v>
      </x:c>
      <x:c r="B21" s="17" t="str">
        <x:v>规则</x:v>
      </x:c>
      <x:c r="C21" s="17" t="str">
        <x:v>规则</x:v>
      </x:c>
      <x:c r="D21" s="17" t="str">
        <x:v>规则</x:v>
      </x:c>
      <x:c r="E21" s="17" t="str">
        <x:v>规则</x:v>
      </x:c>
      <x:c r="F21" s="17" t="str">
        <x:v>规则</x:v>
      </x:c>
      <x:c r="G21" s="17" t="str">
        <x:v>规则</x:v>
      </x:c>
      <x:c r="H21" s="17" t="str">
        <x:v>规则</x:v>
      </x:c>
    </x:row>
    <x:row r="22" ht="38" customHeight="1">
      <x:c r="A22" s="61" t="str">
        <x:v>证据</x:v>
      </x:c>
      <x:c r="B22" s="61" t="str">
        <x:v>记录来源</x:v>
      </x:c>
      <x:c r="C22" s="61" t="str">
        <x:v>记录日期</x:v>
      </x:c>
      <x:c r="D22" s="61" t="str">
        <x:v>F/C/B/H分列</x:v>
      </x:c>
      <x:c r="E22" s="61" t="str">
        <x:v>不把H写成事实</x:v>
      </x:c>
      <x:c r="F22" s="61" t="str">
        <x:v>敏感信息最小必要</x:v>
      </x:c>
      <x:c r="G22" s="61" t="str">
        <x:v>按权限使用</x:v>
      </x:c>
      <x:c r="H22" s="61" t="str">
        <x:v>及时更新</x:v>
      </x:c>
    </x:row>
    <x:row r="23" ht="38" customHeight="1">
      <x:c r="A23" s="61" t="str">
        <x:v>方案</x:v>
      </x:c>
      <x:c r="B23" s="61" t="str">
        <x:v>先目标后产品</x:v>
      </x:c>
      <x:c r="C23" s="61" t="str">
        <x:v>说明根因</x:v>
      </x:c>
      <x:c r="D23" s="61" t="str">
        <x:v>列主备方案</x:v>
      </x:c>
      <x:c r="E23" s="61" t="str">
        <x:v>列前置条件</x:v>
      </x:c>
      <x:c r="F23" s="61" t="str">
        <x:v>列风险控制</x:v>
      </x:c>
      <x:c r="G23" s="61" t="str">
        <x:v>列价值/KPI</x:v>
      </x:c>
      <x:c r="H23" s="61" t="str">
        <x:v>列责任和里程碑</x:v>
      </x:c>
    </x:row>
    <x:row r="24" ht="38" customHeight="1">
      <x:c r="A24" s="61" t="str">
        <x:v>对客</x:v>
      </x:c>
      <x:c r="B24" s="61" t="str">
        <x:v>不得越权承诺</x:v>
      </x:c>
      <x:c r="C24" s="61" t="str">
        <x:v>收益为测算非保证</x:v>
      </x:c>
      <x:c r="D24" s="61" t="str">
        <x:v>授信/价格以批复为准</x:v>
      </x:c>
      <x:c r="E24" s="61" t="str">
        <x:v>术语可理解</x:v>
      </x:c>
      <x:c r="F24" s="61" t="str">
        <x:v>统一口径</x:v>
      </x:c>
      <x:c r="G24" s="61" t="str">
        <x:v>版本留痕</x:v>
      </x:c>
      <x:c r="H24" s="61" t="str">
        <x:v>必要时加声明</x:v>
      </x:c>
    </x:row>
    <x:row r="25" ht="38" customHeight="1">
      <x:c r="A25" s="61" t="str">
        <x:v>收费服务</x:v>
      </x:c>
      <x:c r="B25" s="61" t="str">
        <x:v>有实质内容</x:v>
      </x:c>
      <x:c r="C25" s="61" t="str">
        <x:v>有明确交付物</x:v>
      </x:c>
      <x:c r="D25" s="61" t="str">
        <x:v>有专业人员</x:v>
      </x:c>
      <x:c r="E25" s="61" t="str">
        <x:v>有过程记录</x:v>
      </x:c>
      <x:c r="F25" s="61" t="str">
        <x:v>有定价依据</x:v>
      </x:c>
      <x:c r="G25" s="61" t="str">
        <x:v>有验收</x:v>
      </x:c>
      <x:c r="H25" s="61" t="str">
        <x:v>不与信贷尽调混同</x:v>
      </x:c>
    </x:row>
    <x:row r="26" ht="38" customHeight="1">
      <x:c r="A26" s="61" t="str">
        <x:v>本地化</x:v>
      </x:c>
      <x:c r="B26" s="61" t="str">
        <x:v>产品字典</x:v>
      </x:c>
      <x:c r="C26" s="61" t="str">
        <x:v>准入规则</x:v>
      </x:c>
      <x:c r="D26" s="61" t="str">
        <x:v>授权审批</x:v>
      </x:c>
      <x:c r="E26" s="61" t="str">
        <x:v>CRM字段</x:v>
      </x:c>
      <x:c r="F26" s="61" t="str">
        <x:v>风险偏好</x:v>
      </x:c>
      <x:c r="G26" s="61" t="str">
        <x:v>归档期限</x:v>
      </x:c>
      <x:c r="H26" s="61" t="str">
        <x:v>客户分层/行业策略</x:v>
      </x:c>
    </x:row>
  </x:sheetData>
  <x:mergeCells>
    <x:mergeCell ref="A1:H1"/>
    <x:mergeCell ref="A2:H2"/>
    <x:mergeCell ref="A4:H4"/>
    <x:mergeCell ref="A12:H12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28" hidden="0" customWidth="1"/>
    <x:col min="7" max="7" width="14" hidden="0" customWidth="1"/>
    <x:col min="8" max="8" width="22" hidden="0" customWidth="1"/>
    <x:col min="9" max="9" width="14" hidden="0" customWidth="1"/>
    <x:col min="10" max="10" width="26" hidden="0" customWidth="1"/>
  </x:cols>
  <x:sheetData>
    <x:row r="1" ht="34" customHeight="1">
      <x:c r="A1" s="5" t="str">
        <x:v>客户信息采集表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客户ID是五表联动主键。每个关键结论必须注明状态、来源、基准日和数据缺口。黄色单元格填写，蓝色单元格自动统计。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2" customHeight="1">
      <x:c r="A3" s="12" t="str">
        <x:v>A. 客户主数据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62" t="str">
        <x:v>客户ID*</x:v>
      </x:c>
      <x:c r="B4" s="63" t="str">
        <x:v>〔填写〕</x:v>
      </x:c>
      <x:c r="C4" s="62" t="str">
        <x:v>客户全称*</x:v>
      </x:c>
      <x:c r="D4" s="63" t="str">
        <x:v>〔填写〕</x:v>
      </x:c>
      <x:c r="E4" s="62" t="str">
        <x:v>统一社会信用代码</x:v>
      </x:c>
      <x:c r="F4" s="63" t="str">
        <x:v>〔填写〕</x:v>
      </x:c>
      <x:c r="G4" s="62" t="str">
        <x:v>基准日</x:v>
      </x:c>
      <x:c r="H4" s="64" t="n">
        <x:v>46253</x:v>
      </x:c>
      <x:c r="I4" s="62" t="str">
        <x:v>客户经理</x:v>
      </x:c>
      <x:c r="J4" s="63" t="str">
        <x:v>〔填写〕</x:v>
      </x:c>
    </x:row>
    <x:row r="5">
      <x:c r="A5" s="62" t="str">
        <x:v>行业/子行业*</x:v>
      </x:c>
      <x:c r="B5" s="63" t="str">
        <x:v>〔填写〕</x:v>
      </x:c>
      <x:c r="C5" s="62" t="str">
        <x:v>所有制/类型</x:v>
      </x:c>
      <x:c r="D5" s="63" t="str">
        <x:v>〔填写〕</x:v>
      </x:c>
      <x:c r="E5" s="62" t="str">
        <x:v>生命周期</x:v>
      </x:c>
      <x:c r="F5" s="63" t="str">
        <x:v>〔填写〕</x:v>
      </x:c>
      <x:c r="G5" s="62" t="str">
        <x:v>区域/跨境</x:v>
      </x:c>
      <x:c r="H5" s="64" t="str">
        <x:v>〔填写〕</x:v>
      </x:c>
      <x:c r="I5" s="62" t="str">
        <x:v>集团/母公司</x:v>
      </x:c>
      <x:c r="J5" s="63" t="str">
        <x:v>〔填写〕</x:v>
      </x:c>
    </x:row>
    <x:row r="6">
      <x:c r="A6" s="62" t="str">
        <x:v>实际控制人</x:v>
      </x:c>
      <x:c r="B6" s="63" t="str">
        <x:v>〔填写〕</x:v>
      </x:c>
      <x:c r="C6" s="62" t="str">
        <x:v>核心子公司</x:v>
      </x:c>
      <x:c r="D6" s="63" t="str">
        <x:v>〔填写〕</x:v>
      </x:c>
      <x:c r="E6" s="62" t="str">
        <x:v>决策人/财资负责人</x:v>
      </x:c>
      <x:c r="F6" s="63" t="str">
        <x:v>〔填写〕</x:v>
      </x:c>
      <x:c r="G6" s="62" t="str">
        <x:v>拜访日期</x:v>
      </x:c>
      <x:c r="H6" s="64"/>
      <x:c r="I6" s="62" t="str">
        <x:v>版本/审批</x:v>
      </x:c>
      <x:c r="J6" s="63" t="str">
        <x:v>内部工作版/未审批</x:v>
      </x:c>
    </x:row>
    <x:row r="7">
      <x:c r="A7" s="60"/>
      <x:c r="B7" s="60"/>
      <x:c r="C7" s="60"/>
      <x:c r="D7" s="60"/>
      <x:c r="E7" s="60"/>
      <x:c r="F7" s="60"/>
      <x:c r="G7" s="60"/>
      <x:c r="H7" s="60"/>
      <x:c r="I7" s="60"/>
      <x:c r="J7" s="60"/>
    </x:row>
    <x:row r="8" ht="22" customHeight="1">
      <x:c r="A8" s="12" t="str">
        <x:v>B. 经营、交易、合作与风险信息</x:v>
      </x:c>
      <x:c r="B8" s="12"/>
      <x:c r="C8" s="12"/>
      <x:c r="D8" s="12"/>
      <x:c r="E8" s="12"/>
      <x:c r="F8" s="12"/>
      <x:c r="G8" s="12"/>
      <x:c r="H8" s="12"/>
      <x:c r="I8" s="12"/>
      <x:c r="J8" s="12"/>
    </x:row>
    <x:row r="9" ht="30" customHeight="1">
      <x:c r="A9" s="17" t="str">
        <x:v>信息ID</x:v>
      </x:c>
      <x:c r="B9" s="17" t="str">
        <x:v>主题</x:v>
      </x:c>
      <x:c r="C9" s="17" t="str">
        <x:v>字段/问题</x:v>
      </x:c>
      <x:c r="D9" s="17" t="str">
        <x:v>内容/数值</x:v>
      </x:c>
      <x:c r="E9" s="17" t="str">
        <x:v>单位/口径</x:v>
      </x:c>
      <x:c r="F9" s="17" t="str">
        <x:v>状态</x:v>
      </x:c>
      <x:c r="G9" s="17" t="str">
        <x:v>来源/提供人</x:v>
      </x:c>
      <x:c r="H9" s="17" t="str">
        <x:v>基准日</x:v>
      </x:c>
      <x:c r="I9" s="17" t="str">
        <x:v>可靠性</x:v>
      </x:c>
      <x:c r="J9" s="17" t="str">
        <x:v>数据缺口/下一步</x:v>
      </x:c>
    </x:row>
    <x:row r="10">
      <x:c r="A10" s="65" t="str">
        <x:v>CI-001</x:v>
      </x:c>
      <x:c r="B10" s="65" t="str">
        <x:v>战略与生命周期</x:v>
      </x:c>
      <x:c r="C10" s="65" t="str">
        <x:v>未来12—24个月三项经营目标</x:v>
      </x:c>
      <x:c r="D10" s="63" t="str"/>
      <x:c r="E10" s="63" t="str"/>
      <x:c r="F10" s="63" t="str">
        <x:v>H 工作假设</x:v>
      </x:c>
      <x:c r="G10" s="63" t="str"/>
      <x:c r="H10" s="64"/>
      <x:c r="I10" s="63" t="str">
        <x:v>中</x:v>
      </x:c>
      <x:c r="J10" s="63" t="str"/>
    </x:row>
    <x:row r="11">
      <x:c r="A11" s="65" t="str">
        <x:v>CI-002</x:v>
      </x:c>
      <x:c r="B11" s="65" t="str">
        <x:v>战略与生命周期</x:v>
      </x:c>
      <x:c r="C11" s="65" t="str">
        <x:v>重大投资/扩产/并购/上市/出海事件</x:v>
      </x:c>
      <x:c r="D11" s="63" t="str"/>
      <x:c r="E11" s="63" t="str"/>
      <x:c r="F11" s="63" t="str">
        <x:v>H 工作假设</x:v>
      </x:c>
      <x:c r="G11" s="63" t="str"/>
      <x:c r="H11" s="64"/>
      <x:c r="I11" s="63" t="str">
        <x:v>中</x:v>
      </x:c>
      <x:c r="J11" s="63" t="str"/>
    </x:row>
    <x:row r="12">
      <x:c r="A12" s="65" t="str">
        <x:v>CI-003</x:v>
      </x:c>
      <x:c r="B12" s="65" t="str">
        <x:v>商业模式</x:v>
      </x:c>
      <x:c r="C12" s="65" t="str">
        <x:v>核心产品、收入和利润来源</x:v>
      </x:c>
      <x:c r="D12" s="63" t="str"/>
      <x:c r="E12" s="63" t="str"/>
      <x:c r="F12" s="63" t="str">
        <x:v>H 工作假设</x:v>
      </x:c>
      <x:c r="G12" s="63" t="str"/>
      <x:c r="H12" s="64"/>
      <x:c r="I12" s="63" t="str">
        <x:v>中</x:v>
      </x:c>
      <x:c r="J12" s="63" t="str"/>
    </x:row>
    <x:row r="13">
      <x:c r="A13" s="65" t="str">
        <x:v>CI-004</x:v>
      </x:c>
      <x:c r="B13" s="65" t="str">
        <x:v>价值链</x:v>
      </x:c>
      <x:c r="C13" s="65" t="str">
        <x:v>主要供应商、集中度、账期、币种</x:v>
      </x:c>
      <x:c r="D13" s="63" t="str"/>
      <x:c r="E13" s="63" t="str"/>
      <x:c r="F13" s="63" t="str">
        <x:v>H 工作假设</x:v>
      </x:c>
      <x:c r="G13" s="63" t="str"/>
      <x:c r="H13" s="64"/>
      <x:c r="I13" s="63" t="str">
        <x:v>中</x:v>
      </x:c>
      <x:c r="J13" s="63" t="str"/>
    </x:row>
    <x:row r="14">
      <x:c r="A14" s="65" t="str">
        <x:v>CI-005</x:v>
      </x:c>
      <x:c r="B14" s="65" t="str">
        <x:v>价值链</x:v>
      </x:c>
      <x:c r="C14" s="65" t="str">
        <x:v>主要客户、集中度、账期、币种</x:v>
      </x:c>
      <x:c r="D14" s="63" t="str"/>
      <x:c r="E14" s="63" t="str"/>
      <x:c r="F14" s="63" t="str">
        <x:v>H 工作假设</x:v>
      </x:c>
      <x:c r="G14" s="63" t="str"/>
      <x:c r="H14" s="64"/>
      <x:c r="I14" s="63" t="str">
        <x:v>中</x:v>
      </x:c>
      <x:c r="J14" s="63" t="str"/>
    </x:row>
    <x:row r="15">
      <x:c r="A15" s="65" t="str">
        <x:v>CI-006</x:v>
      </x:c>
      <x:c r="B15" s="65" t="str">
        <x:v>价值链</x:v>
      </x:c>
      <x:c r="C15" s="65" t="str">
        <x:v>采购—生产—库存—销售—回款流程</x:v>
      </x:c>
      <x:c r="D15" s="63" t="str"/>
      <x:c r="E15" s="63" t="str"/>
      <x:c r="F15" s="63" t="str">
        <x:v>H 工作假设</x:v>
      </x:c>
      <x:c r="G15" s="63" t="str"/>
      <x:c r="H15" s="64"/>
      <x:c r="I15" s="63" t="str">
        <x:v>中</x:v>
      </x:c>
      <x:c r="J15" s="63" t="str"/>
    </x:row>
    <x:row r="16">
      <x:c r="A16" s="65" t="str">
        <x:v>CI-007</x:v>
      </x:c>
      <x:c r="B16" s="65" t="str">
        <x:v>财务与现金</x:v>
      </x:c>
      <x:c r="C16" s="65" t="str">
        <x:v>收入/利润/经营现金流趋势</x:v>
      </x:c>
      <x:c r="D16" s="63" t="str"/>
      <x:c r="E16" s="63" t="str"/>
      <x:c r="F16" s="63" t="str">
        <x:v>H 工作假设</x:v>
      </x:c>
      <x:c r="G16" s="63" t="str"/>
      <x:c r="H16" s="64"/>
      <x:c r="I16" s="63" t="str">
        <x:v>中</x:v>
      </x:c>
      <x:c r="J16" s="63" t="str"/>
    </x:row>
    <x:row r="17">
      <x:c r="A17" s="65" t="str">
        <x:v>CI-008</x:v>
      </x:c>
      <x:c r="B17" s="65" t="str">
        <x:v>财务与现金</x:v>
      </x:c>
      <x:c r="C17" s="65" t="str">
        <x:v>应收/存货/应付天数和现金转换周期</x:v>
      </x:c>
      <x:c r="D17" s="63" t="str"/>
      <x:c r="E17" s="63" t="str"/>
      <x:c r="F17" s="63" t="str">
        <x:v>H 工作假设</x:v>
      </x:c>
      <x:c r="G17" s="63" t="str"/>
      <x:c r="H17" s="64"/>
      <x:c r="I17" s="63" t="str">
        <x:v>中</x:v>
      </x:c>
      <x:c r="J17" s="63" t="str"/>
    </x:row>
    <x:row r="18">
      <x:c r="A18" s="65" t="str">
        <x:v>CI-009</x:v>
      </x:c>
      <x:c r="B18" s="65" t="str">
        <x:v>财务与现金</x:v>
      </x:c>
      <x:c r="C18" s="65" t="str">
        <x:v>融资余额、币种、利率和期限结构</x:v>
      </x:c>
      <x:c r="D18" s="63" t="str"/>
      <x:c r="E18" s="63" t="str"/>
      <x:c r="F18" s="63" t="str">
        <x:v>H 工作假设</x:v>
      </x:c>
      <x:c r="G18" s="63" t="str"/>
      <x:c r="H18" s="64"/>
      <x:c r="I18" s="63" t="str">
        <x:v>中</x:v>
      </x:c>
      <x:c r="J18" s="63" t="str"/>
    </x:row>
    <x:row r="19">
      <x:c r="A19" s="65" t="str">
        <x:v>CI-010</x:v>
      </x:c>
      <x:c r="B19" s="65" t="str">
        <x:v>财资与结算</x:v>
      </x:c>
      <x:c r="C19" s="65" t="str">
        <x:v>账户、收付款、归集、对账和系统连接</x:v>
      </x:c>
      <x:c r="D19" s="63" t="str"/>
      <x:c r="E19" s="63" t="str"/>
      <x:c r="F19" s="63" t="str">
        <x:v>H 工作假设</x:v>
      </x:c>
      <x:c r="G19" s="63" t="str"/>
      <x:c r="H19" s="64"/>
      <x:c r="I19" s="63" t="str">
        <x:v>中</x:v>
      </x:c>
      <x:c r="J19" s="63" t="str"/>
    </x:row>
    <x:row r="20">
      <x:c r="A20" s="65" t="str">
        <x:v>CI-011</x:v>
      </x:c>
      <x:c r="B20" s="65" t="str">
        <x:v>银行合作</x:v>
      </x:c>
      <x:c r="C20" s="65" t="str">
        <x:v>主办行/合作行与主要产品</x:v>
      </x:c>
      <x:c r="D20" s="63" t="str"/>
      <x:c r="E20" s="63" t="str"/>
      <x:c r="F20" s="63" t="str">
        <x:v>H 工作假设</x:v>
      </x:c>
      <x:c r="G20" s="63" t="str"/>
      <x:c r="H20" s="64"/>
      <x:c r="I20" s="63" t="str">
        <x:v>中</x:v>
      </x:c>
      <x:c r="J20" s="63" t="str"/>
    </x:row>
    <x:row r="21">
      <x:c r="A21" s="65" t="str">
        <x:v>CI-012</x:v>
      </x:c>
      <x:c r="B21" s="65" t="str">
        <x:v>银行合作</x:v>
      </x:c>
      <x:c r="C21" s="65" t="str">
        <x:v>现有体验满意点与待改善问题</x:v>
      </x:c>
      <x:c r="D21" s="63" t="str"/>
      <x:c r="E21" s="63" t="str"/>
      <x:c r="F21" s="63" t="str">
        <x:v>H 工作假设</x:v>
      </x:c>
      <x:c r="G21" s="63" t="str"/>
      <x:c r="H21" s="64"/>
      <x:c r="I21" s="63" t="str">
        <x:v>中</x:v>
      </x:c>
      <x:c r="J21" s="63" t="str"/>
    </x:row>
    <x:row r="22">
      <x:c r="A22" s="65" t="str">
        <x:v>CI-013</x:v>
      </x:c>
      <x:c r="B22" s="65" t="str">
        <x:v>治理与关系</x:v>
      </x:c>
      <x:c r="C22" s="65" t="str">
        <x:v>经济决策人、发起人、使用人、把关人</x:v>
      </x:c>
      <x:c r="D22" s="63" t="str"/>
      <x:c r="E22" s="63" t="str"/>
      <x:c r="F22" s="63" t="str">
        <x:v>H 工作假设</x:v>
      </x:c>
      <x:c r="G22" s="63" t="str"/>
      <x:c r="H22" s="64"/>
      <x:c r="I22" s="63" t="str">
        <x:v>中</x:v>
      </x:c>
      <x:c r="J22" s="63" t="str"/>
    </x:row>
    <x:row r="23">
      <x:c r="A23" s="65" t="str">
        <x:v>CI-014</x:v>
      </x:c>
      <x:c r="B23" s="65" t="str">
        <x:v>治理与关系</x:v>
      </x:c>
      <x:c r="C23" s="65" t="str">
        <x:v>采购/审批/签约流程与时限</x:v>
      </x:c>
      <x:c r="D23" s="63" t="str"/>
      <x:c r="E23" s="63" t="str"/>
      <x:c r="F23" s="63" t="str">
        <x:v>H 工作假设</x:v>
      </x:c>
      <x:c r="G23" s="63" t="str"/>
      <x:c r="H23" s="64"/>
      <x:c r="I23" s="63" t="str">
        <x:v>中</x:v>
      </x:c>
      <x:c r="J23" s="63" t="str"/>
    </x:row>
    <x:row r="24">
      <x:c r="A24" s="65" t="str">
        <x:v>CI-015</x:v>
      </x:c>
      <x:c r="B24" s="65" t="str">
        <x:v>风险合规</x:v>
      </x:c>
      <x:c r="C24" s="65" t="str">
        <x:v>行业/经营/信用/担保风险</x:v>
      </x:c>
      <x:c r="D24" s="63" t="str"/>
      <x:c r="E24" s="63" t="str"/>
      <x:c r="F24" s="63" t="str">
        <x:v>H 工作假设</x:v>
      </x:c>
      <x:c r="G24" s="63" t="str"/>
      <x:c r="H24" s="64"/>
      <x:c r="I24" s="63" t="str">
        <x:v>中</x:v>
      </x:c>
      <x:c r="J24" s="63" t="str"/>
    </x:row>
    <x:row r="25">
      <x:c r="A25" s="65" t="str">
        <x:v>CI-016</x:v>
      </x:c>
      <x:c r="B25" s="65" t="str">
        <x:v>风险合规</x:v>
      </x:c>
      <x:c r="C25" s="65" t="str">
        <x:v>诉讼/税务/环保/声誉/ESG</x:v>
      </x:c>
      <x:c r="D25" s="63" t="str"/>
      <x:c r="E25" s="63" t="str"/>
      <x:c r="F25" s="63" t="str">
        <x:v>H 工作假设</x:v>
      </x:c>
      <x:c r="G25" s="63" t="str"/>
      <x:c r="H25" s="64"/>
      <x:c r="I25" s="63" t="str">
        <x:v>中</x:v>
      </x:c>
      <x:c r="J25" s="63" t="str"/>
    </x:row>
    <x:row r="26">
      <x:c r="A26" s="65" t="str">
        <x:v>CI-017</x:v>
      </x:c>
      <x:c r="B26" s="65" t="str">
        <x:v>风险合规</x:v>
      </x:c>
      <x:c r="C26" s="65" t="str">
        <x:v>反洗钱/制裁/跨境/数据与隐私</x:v>
      </x:c>
      <x:c r="D26" s="63" t="str"/>
      <x:c r="E26" s="63" t="str"/>
      <x:c r="F26" s="63" t="str">
        <x:v>H 工作假设</x:v>
      </x:c>
      <x:c r="G26" s="63" t="str"/>
      <x:c r="H26" s="64"/>
      <x:c r="I26" s="63" t="str">
        <x:v>中</x:v>
      </x:c>
      <x:c r="J26" s="63" t="str"/>
    </x:row>
    <x:row r="27">
      <x:c r="A27" s="65" t="str">
        <x:v>CI-018</x:v>
      </x:c>
      <x:c r="B27" s="65" t="str">
        <x:v>服务机会</x:v>
      </x:c>
      <x:c r="C27" s="65" t="str">
        <x:v>客户希望银行优先解决的问题</x:v>
      </x:c>
      <x:c r="D27" s="63" t="str"/>
      <x:c r="E27" s="63" t="str"/>
      <x:c r="F27" s="63" t="str">
        <x:v>H 工作假设</x:v>
      </x:c>
      <x:c r="G27" s="63" t="str"/>
      <x:c r="H27" s="64"/>
      <x:c r="I27" s="63" t="str">
        <x:v>中</x:v>
      </x:c>
      <x:c r="J27" s="63" t="str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</x:row>
    <x:row r="30" ht="22" customHeight="1">
      <x:c r="A30" s="12" t="str">
        <x:v>C. 完整度概览（自动）</x:v>
      </x:c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66" t="str">
        <x:v>已填写条目</x:v>
      </x:c>
      <x:c r="B31" s="66" t="str"/>
      <x:c r="C31" s="66" t="str">
        <x:v>客户确认/银行核验</x:v>
      </x:c>
      <x:c r="D31" s="66" t="str"/>
      <x:c r="E31" s="66" t="str">
        <x:v>仍为假设</x:v>
      </x:c>
      <x:c r="F31" s="66" t="str"/>
      <x:c r="G31" s="66" t="str">
        <x:v>存在缺口</x:v>
      </x:c>
      <x:c r="H31" s="66" t="str"/>
      <x:c r="I31" s="66" t="str">
        <x:v>完整度</x:v>
      </x:c>
      <x:c r="J31" s="66" t="str"/>
    </x:row>
    <x:row r="32">
      <x:c r="A32" s="67" t="n">
        <x:f>COUNTIF(D10:D27,"?*")</x:f>
        <x:v>0</x:v>
      </x:c>
      <x:c r="B32" s="67" t="str"/>
      <x:c r="C32" s="67" t="n">
        <x:f>COUNTIF(F10:F27,"C 客户确认")+COUNTIF(F10:F27,"B 银行核验")</x:f>
        <x:v>0</x:v>
      </x:c>
      <x:c r="D32" s="67" t="str"/>
      <x:c r="E32" s="67" t="n">
        <x:f>COUNTIF(F10:F27,"H 工作假设")</x:f>
        <x:v>18</x:v>
      </x:c>
      <x:c r="F32" s="67" t="str"/>
      <x:c r="G32" s="67" t="n">
        <x:f>COUNTIF(J10:J27,"?*")</x:f>
        <x:v>0</x:v>
      </x:c>
      <x:c r="H32" s="67" t="str"/>
      <x:c r="I32" s="68" t="n">
        <x:f>COUNTIF(D10:D27,"?*")/18</x:f>
        <x:v>0</x:v>
      </x:c>
      <x:c r="J32" s="67" t="str"/>
    </x:row>
    <x:row r="33">
      <x:c r="A33" s="69" t="str">
        <x:v>完成标准</x:v>
      </x:c>
      <x:c r="B33" s="69" t="str">
        <x:v>关键字段不为空</x:v>
      </x:c>
      <x:c r="C33" s="69" t="str">
        <x:v>关键目标/痛点已核验</x:v>
      </x:c>
      <x:c r="D33" s="69" t="str"/>
      <x:c r="E33" s="69" t="str">
        <x:v>P1事项不应仅为假设</x:v>
      </x:c>
      <x:c r="F33" s="69" t="str"/>
      <x:c r="G33" s="69" t="str">
        <x:v>缺口均有下一步</x:v>
      </x:c>
      <x:c r="H33" s="69" t="str"/>
      <x:c r="I33" s="69" t="str">
        <x:v>建议≥80%</x:v>
      </x:c>
      <x:c r="J33" s="69" t="str"/>
    </x:row>
  </x:sheetData>
  <x:mergeCells>
    <x:mergeCell ref="A1:J1"/>
    <x:mergeCell ref="A2:J2"/>
    <x:mergeCell ref="A3:J3"/>
    <x:mergeCell ref="A8:J8"/>
    <x:mergeCell ref="A30:J30"/>
    <x:mergeCell ref="A31:B31"/>
    <x:mergeCell ref="C31:D31"/>
    <x:mergeCell ref="E31:F31"/>
    <x:mergeCell ref="G31:H31"/>
    <x:mergeCell ref="I31:J31"/>
    <x:mergeCell ref="A32:B32"/>
    <x:mergeCell ref="C32:D32"/>
    <x:mergeCell ref="E32:F32"/>
    <x:mergeCell ref="G32:H32"/>
    <x:mergeCell ref="I32:J32"/>
    <x:mergeCell ref="A33:B33"/>
    <x:mergeCell ref="C33:D33"/>
    <x:mergeCell ref="E33:F33"/>
    <x:mergeCell ref="G33:H33"/>
    <x:mergeCell ref="I33:J33"/>
  </x:mergeCells>
  <x:dataValidations count="4">
    <x:dataValidation type="list" sqref="F5">
      <x:formula1>"初创,成长,成熟,转型/重组"</x:formula1>
    </x:dataValidation>
    <x:dataValidation type="list" sqref="J6">
      <x:formula1>"内部工作版/未审批,内部方案/审批中,对客版/已批准"</x:formula1>
    </x:dataValidation>
    <x:dataValidation type="list" sqref="F10:F27">
      <x:formula1>"F 公开事实,C 客户确认,B 银行核验,H 工作假设,P 待审批,A 已批准"</x:formula1>
    </x:dataValidation>
    <x:dataValidation type="list" sqref="I10:I27">
      <x:formula1>"高,中,低"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20" hidden="0" customWidth="1"/>
  </x:cols>
  <x:sheetData>
    <x:row r="1" ht="34" customHeight="1">
      <x:c r="A1" s="5" t="str">
        <x:v>行业分析表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以客户所处细分行业和价值链环节为单位；区分行业共性与客户差异，结论应能导出银行服务切入点和风控抓手。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>
      <x:c r="A3" s="62" t="str">
        <x:v>客户ID</x:v>
      </x:c>
      <x:c r="B3" s="70" t="str">
        <x:f>'客户信息采集'!B4</x:f>
        <x:v>〔填写〕</x:v>
      </x:c>
      <x:c r="C3" s="62" t="str">
        <x:v>行业/子行业</x:v>
      </x:c>
      <x:c r="D3" s="63" t="str">
        <x:v>〔填写〕</x:v>
      </x:c>
      <x:c r="E3" s="62" t="str">
        <x:v>价值链环节</x:v>
      </x:c>
      <x:c r="F3" s="63" t="str">
        <x:v>〔填写〕</x:v>
      </x:c>
      <x:c r="G3" s="62" t="str">
        <x:v>分析基准日</x:v>
      </x:c>
      <x:c r="H3" s="64" t="n">
        <x:v>46253</x:v>
      </x:c>
      <x:c r="I3" s="62" t="str">
        <x:v>分析/复核人</x:v>
      </x:c>
      <x:c r="J3" s="63" t="str">
        <x:v>〔填写〕</x:v>
      </x:c>
    </x:row>
    <x:row r="4">
      <x:c r="A4" s="62" t="str">
        <x:v>联动说明</x:v>
      </x:c>
      <x:c r="B4" s="70" t="str">
        <x:v>客户ID自动取自客户信息表</x:v>
      </x:c>
      <x:c r="C4" s="62" t="str">
        <x:v>评分口径</x:v>
      </x:c>
      <x:c r="D4" s="63" t="str">
        <x:v>1低—5高</x:v>
      </x:c>
      <x:c r="E4" s="62" t="str">
        <x:v>输出</x:v>
      </x:c>
      <x:c r="F4" s="63" t="str">
        <x:v>行业结论+客户差异+服务切入</x:v>
      </x:c>
      <x:c r="G4" s="62" t="str">
        <x:v>状态</x:v>
      </x:c>
      <x:c r="H4" s="63" t="str">
        <x:v>内部工作版</x:v>
      </x:c>
      <x:c r="I4" s="62" t="str">
        <x:v>证据要求</x:v>
      </x:c>
      <x:c r="J4" s="63" t="str">
        <x:v>来源/日期/指标口径</x:v>
      </x:c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</x:row>
    <x:row r="6" ht="22" customHeight="1">
      <x:c r="A6" s="12" t="str">
        <x:v>A. 行业维度分析</x:v>
      </x:c>
      <x:c r="B6" s="12"/>
      <x:c r="C6" s="12"/>
      <x:c r="D6" s="12"/>
      <x:c r="E6" s="12"/>
      <x:c r="F6" s="12"/>
      <x:c r="G6" s="12"/>
      <x:c r="H6" s="12"/>
      <x:c r="I6" s="12"/>
      <x:c r="J6" s="12"/>
    </x:row>
    <x:row r="7" ht="30" customHeight="1">
      <x:c r="A7" s="17" t="str">
        <x:v>分析ID</x:v>
      </x:c>
      <x:c r="B7" s="17" t="str">
        <x:v>维度</x:v>
      </x:c>
      <x:c r="C7" s="17" t="str">
        <x:v>评分(1-5)</x:v>
      </x:c>
      <x:c r="D7" s="17" t="str">
        <x:v>趋势/方向</x:v>
      </x:c>
      <x:c r="E7" s="17" t="str">
        <x:v>行业事实与关键指标</x:v>
      </x:c>
      <x:c r="F7" s="17" t="str">
        <x:v>客户相对行业差异</x:v>
      </x:c>
      <x:c r="G7" s="17" t="str">
        <x:v>机会/风险含义</x:v>
      </x:c>
      <x:c r="H7" s="17" t="str">
        <x:v>服务切入点</x:v>
      </x:c>
      <x:c r="I7" s="17" t="str">
        <x:v>风控抓手</x:v>
      </x:c>
      <x:c r="J7" s="17" t="str">
        <x:v>来源/基准日</x:v>
      </x:c>
    </x:row>
    <x:row r="8">
      <x:c r="A8" s="65" t="str">
        <x:v>IN-01</x:v>
      </x:c>
      <x:c r="B8" s="65" t="str">
        <x:v>边界与生命周期</x:v>
      </x:c>
      <x:c r="C8" s="63" t="str"/>
      <x:c r="D8" s="63" t="str">
        <x:v>稳定</x:v>
      </x:c>
      <x:c r="E8" s="63" t="str"/>
      <x:c r="F8" s="63" t="str"/>
      <x:c r="G8" s="63" t="str"/>
      <x:c r="H8" s="63" t="str"/>
      <x:c r="I8" s="63" t="str"/>
      <x:c r="J8" s="63" t="str"/>
    </x:row>
    <x:row r="9">
      <x:c r="A9" s="65" t="str">
        <x:v>IN-02</x:v>
      </x:c>
      <x:c r="B9" s="65" t="str">
        <x:v>规模、增速与周期</x:v>
      </x:c>
      <x:c r="C9" s="63" t="str"/>
      <x:c r="D9" s="63" t="str">
        <x:v>稳定</x:v>
      </x:c>
      <x:c r="E9" s="63" t="str"/>
      <x:c r="F9" s="63" t="str"/>
      <x:c r="G9" s="63" t="str"/>
      <x:c r="H9" s="63" t="str"/>
      <x:c r="I9" s="63" t="str"/>
      <x:c r="J9" s="63" t="str"/>
    </x:row>
    <x:row r="10">
      <x:c r="A10" s="65" t="str">
        <x:v>IN-03</x:v>
      </x:c>
      <x:c r="B10" s="65" t="str">
        <x:v>政策与监管</x:v>
      </x:c>
      <x:c r="C10" s="63" t="str"/>
      <x:c r="D10" s="63" t="str">
        <x:v>稳定</x:v>
      </x:c>
      <x:c r="E10" s="63" t="str"/>
      <x:c r="F10" s="63" t="str"/>
      <x:c r="G10" s="63" t="str"/>
      <x:c r="H10" s="63" t="str"/>
      <x:c r="I10" s="63" t="str"/>
      <x:c r="J10" s="63" t="str"/>
    </x:row>
    <x:row r="11">
      <x:c r="A11" s="65" t="str">
        <x:v>IN-04</x:v>
      </x:c>
      <x:c r="B11" s="65" t="str">
        <x:v>技术与替代</x:v>
      </x:c>
      <x:c r="C11" s="63" t="str"/>
      <x:c r="D11" s="63" t="str">
        <x:v>稳定</x:v>
      </x:c>
      <x:c r="E11" s="63" t="str"/>
      <x:c r="F11" s="63" t="str"/>
      <x:c r="G11" s="63" t="str"/>
      <x:c r="H11" s="63" t="str"/>
      <x:c r="I11" s="63" t="str"/>
      <x:c r="J11" s="63" t="str"/>
    </x:row>
    <x:row r="12">
      <x:c r="A12" s="65" t="str">
        <x:v>IN-05</x:v>
      </x:c>
      <x:c r="B12" s="65" t="str">
        <x:v>竞争格局与集中度</x:v>
      </x:c>
      <x:c r="C12" s="63" t="str"/>
      <x:c r="D12" s="63" t="str">
        <x:v>稳定</x:v>
      </x:c>
      <x:c r="E12" s="63" t="str"/>
      <x:c r="F12" s="63" t="str"/>
      <x:c r="G12" s="63" t="str"/>
      <x:c r="H12" s="63" t="str"/>
      <x:c r="I12" s="63" t="str"/>
      <x:c r="J12" s="63" t="str"/>
    </x:row>
    <x:row r="13">
      <x:c r="A13" s="65" t="str">
        <x:v>IN-06</x:v>
      </x:c>
      <x:c r="B13" s="65" t="str">
        <x:v>价值链与利润池</x:v>
      </x:c>
      <x:c r="C13" s="63" t="str"/>
      <x:c r="D13" s="63" t="str">
        <x:v>稳定</x:v>
      </x:c>
      <x:c r="E13" s="63" t="str"/>
      <x:c r="F13" s="63" t="str"/>
      <x:c r="G13" s="63" t="str"/>
      <x:c r="H13" s="63" t="str"/>
      <x:c r="I13" s="63" t="str"/>
      <x:c r="J13" s="63" t="str"/>
    </x:row>
    <x:row r="14">
      <x:c r="A14" s="65" t="str">
        <x:v>IN-07</x:v>
      </x:c>
      <x:c r="B14" s="65" t="str">
        <x:v>商流/物流/资金流</x:v>
      </x:c>
      <x:c r="C14" s="63" t="str"/>
      <x:c r="D14" s="63" t="str">
        <x:v>稳定</x:v>
      </x:c>
      <x:c r="E14" s="63" t="str"/>
      <x:c r="F14" s="63" t="str"/>
      <x:c r="G14" s="63" t="str"/>
      <x:c r="H14" s="63" t="str"/>
      <x:c r="I14" s="63" t="str"/>
      <x:c r="J14" s="63" t="str"/>
    </x:row>
    <x:row r="15">
      <x:c r="A15" s="65" t="str">
        <x:v>IN-08</x:v>
      </x:c>
      <x:c r="B15" s="65" t="str">
        <x:v>账期与现金转换</x:v>
      </x:c>
      <x:c r="C15" s="63" t="str"/>
      <x:c r="D15" s="63" t="str">
        <x:v>稳定</x:v>
      </x:c>
      <x:c r="E15" s="63" t="str"/>
      <x:c r="F15" s="63" t="str"/>
      <x:c r="G15" s="63" t="str"/>
      <x:c r="H15" s="63" t="str"/>
      <x:c r="I15" s="63" t="str"/>
      <x:c r="J15" s="63" t="str"/>
    </x:row>
    <x:row r="16">
      <x:c r="A16" s="65" t="str">
        <x:v>IN-09</x:v>
      </x:c>
      <x:c r="B16" s="65" t="str">
        <x:v>资本开支与融资模式</x:v>
      </x:c>
      <x:c r="C16" s="63" t="str"/>
      <x:c r="D16" s="63" t="str">
        <x:v>稳定</x:v>
      </x:c>
      <x:c r="E16" s="63" t="str"/>
      <x:c r="F16" s="63" t="str"/>
      <x:c r="G16" s="63" t="str"/>
      <x:c r="H16" s="63" t="str"/>
      <x:c r="I16" s="63" t="str"/>
      <x:c r="J16" s="63" t="str"/>
    </x:row>
    <x:row r="17">
      <x:c r="A17" s="65" t="str">
        <x:v>IN-10</x:v>
      </x:c>
      <x:c r="B17" s="65" t="str">
        <x:v>跨境/汇率/大宗商品</x:v>
      </x:c>
      <x:c r="C17" s="63" t="str"/>
      <x:c r="D17" s="63" t="str">
        <x:v>稳定</x:v>
      </x:c>
      <x:c r="E17" s="63" t="str"/>
      <x:c r="F17" s="63" t="str"/>
      <x:c r="G17" s="63" t="str"/>
      <x:c r="H17" s="63" t="str"/>
      <x:c r="I17" s="63" t="str"/>
      <x:c r="J17" s="63" t="str"/>
    </x:row>
    <x:row r="18">
      <x:c r="A18" s="65" t="str">
        <x:v>IN-11</x:v>
      </x:c>
      <x:c r="B18" s="65" t="str">
        <x:v>绿色/ESG/数据</x:v>
      </x:c>
      <x:c r="C18" s="63" t="str"/>
      <x:c r="D18" s="63" t="str">
        <x:v>稳定</x:v>
      </x:c>
      <x:c r="E18" s="63" t="str"/>
      <x:c r="F18" s="63" t="str"/>
      <x:c r="G18" s="63" t="str"/>
      <x:c r="H18" s="63" t="str"/>
      <x:c r="I18" s="63" t="str"/>
      <x:c r="J18" s="63" t="str"/>
    </x:row>
    <x:row r="19">
      <x:c r="A19" s="65" t="str">
        <x:v>IN-12</x:v>
      </x:c>
      <x:c r="B19" s="65" t="str">
        <x:v>主要风险与预警</x:v>
      </x:c>
      <x:c r="C19" s="63" t="str"/>
      <x:c r="D19" s="63" t="str">
        <x:v>稳定</x:v>
      </x:c>
      <x:c r="E19" s="63" t="str"/>
      <x:c r="F19" s="63" t="str"/>
      <x:c r="G19" s="63" t="str"/>
      <x:c r="H19" s="63" t="str"/>
      <x:c r="I19" s="63" t="str"/>
      <x:c r="J19" s="63" t="str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</x:row>
    <x:row r="21" ht="22" customHeight="1">
      <x:c r="A21" s="12" t="str">
        <x:v>B. 客户相对行业标杆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30" customHeight="1">
      <x:c r="A22" s="17" t="str">
        <x:v>指标</x:v>
      </x:c>
      <x:c r="B22" s="17" t="str">
        <x:v>行业区间/标杆</x:v>
      </x:c>
      <x:c r="C22" s="17" t="str">
        <x:v>客户值</x:v>
      </x:c>
      <x:c r="D22" s="17" t="str">
        <x:v>差异</x:v>
      </x:c>
      <x:c r="E22" s="17" t="str">
        <x:v>差异原因</x:v>
      </x:c>
      <x:c r="F22" s="17" t="str">
        <x:v>业务影响</x:v>
      </x:c>
      <x:c r="G22" s="17" t="str">
        <x:v>服务机会</x:v>
      </x:c>
      <x:c r="H22" s="17" t="str">
        <x:v>风险信号</x:v>
      </x:c>
      <x:c r="I22" s="17" t="str">
        <x:v>数据来源</x:v>
      </x:c>
      <x:c r="J22" s="17" t="str">
        <x:v>基准日</x:v>
      </x:c>
    </x:row>
    <x:row r="23">
      <x:c r="A23" s="65" t="str">
        <x:v>收入增速/市场份额</x:v>
      </x:c>
      <x:c r="B23" s="63" t="str"/>
      <x:c r="C23" s="63" t="str"/>
      <x:c r="D23" s="63" t="str"/>
      <x:c r="E23" s="63" t="str"/>
      <x:c r="F23" s="63" t="str"/>
      <x:c r="G23" s="63" t="str"/>
      <x:c r="H23" s="63" t="str"/>
      <x:c r="I23" s="63" t="str"/>
      <x:c r="J23" s="64"/>
    </x:row>
    <x:row r="24">
      <x:c r="A24" s="65" t="str">
        <x:v>毛利率/净利率</x:v>
      </x:c>
      <x:c r="B24" s="63" t="str"/>
      <x:c r="C24" s="63" t="str"/>
      <x:c r="D24" s="63" t="str"/>
      <x:c r="E24" s="63" t="str"/>
      <x:c r="F24" s="63" t="str"/>
      <x:c r="G24" s="63" t="str"/>
      <x:c r="H24" s="63" t="str"/>
      <x:c r="I24" s="63" t="str"/>
      <x:c r="J24" s="64"/>
    </x:row>
    <x:row r="25">
      <x:c r="A25" s="65" t="str">
        <x:v>应收/存货/应付天数</x:v>
      </x:c>
      <x:c r="B25" s="63" t="str"/>
      <x:c r="C25" s="63" t="str"/>
      <x:c r="D25" s="63" t="str"/>
      <x:c r="E25" s="63" t="str"/>
      <x:c r="F25" s="63" t="str"/>
      <x:c r="G25" s="63" t="str"/>
      <x:c r="H25" s="63" t="str"/>
      <x:c r="I25" s="63" t="str"/>
      <x:c r="J25" s="64"/>
    </x:row>
    <x:row r="26">
      <x:c r="A26" s="65" t="str">
        <x:v>资产负债率/利息覆盖</x:v>
      </x:c>
      <x:c r="B26" s="63" t="str"/>
      <x:c r="C26" s="63" t="str"/>
      <x:c r="D26" s="63" t="str"/>
      <x:c r="E26" s="63" t="str"/>
      <x:c r="F26" s="63" t="str"/>
      <x:c r="G26" s="63" t="str"/>
      <x:c r="H26" s="63" t="str"/>
      <x:c r="I26" s="63" t="str"/>
      <x:c r="J26" s="64"/>
    </x:row>
    <x:row r="27">
      <x:c r="A27" s="65" t="str">
        <x:v>资本开支/研发强度</x:v>
      </x:c>
      <x:c r="B27" s="63" t="str"/>
      <x:c r="C27" s="63" t="str"/>
      <x:c r="D27" s="63" t="str"/>
      <x:c r="E27" s="63" t="str"/>
      <x:c r="F27" s="63" t="str"/>
      <x:c r="G27" s="63" t="str"/>
      <x:c r="H27" s="63" t="str"/>
      <x:c r="I27" s="63" t="str"/>
      <x:c r="J27" s="64"/>
    </x:row>
    <x:row r="28">
      <x:c r="A28" s="65" t="str">
        <x:v>客户/供应商集中度</x:v>
      </x:c>
      <x:c r="B28" s="63" t="str"/>
      <x:c r="C28" s="63" t="str"/>
      <x:c r="D28" s="63" t="str"/>
      <x:c r="E28" s="63" t="str"/>
      <x:c r="F28" s="63" t="str"/>
      <x:c r="G28" s="63" t="str"/>
      <x:c r="H28" s="63" t="str"/>
      <x:c r="I28" s="63" t="str"/>
      <x:c r="J28" s="64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</x:row>
    <x:row r="30" ht="22" customHeight="1">
      <x:c r="A30" s="12" t="str">
        <x:v>C. 综合结论（自动评分 + 人工结论）</x:v>
      </x:c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62" t="str">
        <x:v>平均评分</x:v>
      </x:c>
      <x:c r="B31" s="62" t="str"/>
      <x:c r="C31" s="62" t="str">
        <x:v>高分维度数(≥4)</x:v>
      </x:c>
      <x:c r="D31" s="62" t="str"/>
      <x:c r="E31" s="62" t="str">
        <x:v>低分维度数(≤2)</x:v>
      </x:c>
      <x:c r="F31" s="62" t="str"/>
      <x:c r="G31" s="62" t="str">
        <x:v>行业/客户结论</x:v>
      </x:c>
      <x:c r="H31" s="62" t="str"/>
      <x:c r="I31" s="62" t="str"/>
      <x:c r="J31" s="62" t="str"/>
    </x:row>
    <x:row r="32">
      <x:c r="A32" s="71" t="str">
        <x:f>IFERROR(AVERAGE(C8:C19),"")</x:f>
      </x:c>
      <x:c r="B32" s="72" t="str"/>
      <x:c r="C32" s="72" t="n">
        <x:f>COUNTIF(C8:C19,"&gt;=4")</x:f>
        <x:v>0</x:v>
      </x:c>
      <x:c r="D32" s="72" t="str"/>
      <x:c r="E32" s="72" t="n">
        <x:f>COUNTIF(C8:C19,"&lt;=2")</x:f>
        <x:v>12</x:v>
      </x:c>
      <x:c r="F32" s="72" t="str"/>
      <x:c r="G32" s="63" t="str">
        <x:v>〔填写：阶段、驱动、风险、客户差异〕</x:v>
      </x:c>
      <x:c r="H32" s="63" t="str"/>
      <x:c r="I32" s="63" t="str"/>
      <x:c r="J32" s="63" t="str"/>
    </x:row>
    <x:row r="33">
      <x:c r="A33" s="73" t="str">
        <x:v>优先切入</x:v>
      </x:c>
      <x:c r="B33" s="73" t="str"/>
      <x:c r="C33" s="73" t="str"/>
      <x:c r="D33" s="73" t="str"/>
      <x:c r="E33" s="73" t="str"/>
      <x:c r="F33" s="73" t="str"/>
      <x:c r="G33" s="73" t="str">
        <x:v>风控与专家核验</x:v>
      </x:c>
      <x:c r="H33" s="73" t="str"/>
      <x:c r="I33" s="73" t="str"/>
      <x:c r="J33" s="73" t="str"/>
    </x:row>
    <x:row r="34">
      <x:c r="A34" s="63" t="str">
        <x:v>〔填写：场景/需求〕</x:v>
      </x:c>
      <x:c r="B34" s="63" t="str"/>
      <x:c r="C34" s="63" t="str"/>
      <x:c r="D34" s="63" t="str"/>
      <x:c r="E34" s="63" t="str"/>
      <x:c r="F34" s="63" t="str"/>
      <x:c r="G34" s="63" t="str">
        <x:v>〔填写：抓手/待核验问题/专家〕</x:v>
      </x:c>
      <x:c r="H34" s="63" t="str"/>
      <x:c r="I34" s="63" t="str"/>
      <x:c r="J34" s="63" t="str"/>
    </x:row>
  </x:sheetData>
  <x:mergeCells>
    <x:mergeCell ref="A1:J1"/>
    <x:mergeCell ref="A2:J2"/>
    <x:mergeCell ref="A6:J6"/>
    <x:mergeCell ref="A21:J21"/>
    <x:mergeCell ref="A30:J30"/>
    <x:mergeCell ref="A31:B31"/>
    <x:mergeCell ref="C31:D31"/>
    <x:mergeCell ref="E31:F31"/>
    <x:mergeCell ref="G31:J31"/>
    <x:mergeCell ref="A32:B32"/>
    <x:mergeCell ref="C32:D32"/>
    <x:mergeCell ref="E32:F32"/>
    <x:mergeCell ref="G32:J32"/>
    <x:mergeCell ref="A33:F33"/>
    <x:mergeCell ref="G33:J33"/>
    <x:mergeCell ref="A34:F34"/>
    <x:mergeCell ref="G34:J34"/>
  </x:mergeCells>
  <x:conditionalFormatting sqref="C8:C19">
    <x:cfRule type="colorScale" priority="1">
      <x:colorScale>
        <x:cfvo type="min"/>
        <x:cfvo type="percentile" val="50"/>
        <x:cfvo type="max"/>
        <x:color rgb="FFFDE8E7"/>
        <x:color rgb="FFFFF4CE"/>
        <x:color rgb="FFE8F3EC"/>
      </x:colorScale>
    </x:cfRule>
  </x:conditionalFormatting>
  <x:dataValidations count="2">
    <x:dataValidation type="whole" operator="between" sqref="C8:C19">
      <x:formula1>1</x:formula1>
      <x:formula2>5</x:formula2>
    </x:dataValidation>
    <x:dataValidation type="list" sqref="D8:D19">
      <x:formula1>"上行,稳定,下行,结构性分化,不确定"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8" hidden="0" customWidth="1"/>
    <x:col min="5" max="5" width="28" hidden="0" customWidth="1"/>
    <x:col min="6" max="6" width="24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0" hidden="0" customWidth="1"/>
    <x:col min="13" max="13" width="24" hidden="0" customWidth="1"/>
    <x:col min="14" max="14" width="24" hidden="0" customWidth="1"/>
    <x:col min="15" max="15" width="28" hidden="0" customWidth="1"/>
    <x:col min="16" max="16" width="22" hidden="0" customWidth="1"/>
    <x:col min="17" max="17" width="22" hidden="0" customWidth="1"/>
    <x:col min="18" max="18" width="24" hidden="0" customWidth="1"/>
    <x:col min="19" max="19" width="22" hidden="0" customWidth="1"/>
    <x:col min="20" max="20" width="22" hidden="0" customWidth="1"/>
    <x:col min="21" max="21" width="20" hidden="0" customWidth="1"/>
    <x:col min="22" max="22" width="14" hidden="0" customWidth="1"/>
    <x:col min="23" max="23" width="16" hidden="0" customWidth="1"/>
    <x:col min="24" max="24" width="20" hidden="0" customWidth="1"/>
  </x:cols>
  <x:sheetData>
    <x:row r="1" ht="34" customHeight="1">
      <x:c r="A1" s="5" t="str">
        <x:v>需求—方案—产品映射表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9" t="str">
        <x:v>优先分=紧迫度×经营影响×战略匹配。每项产品必须关联客户目标、根因、条件、风险、价值和负责人；不得把产品清单当方案。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</x:row>
    <x:row r="3">
      <x:c r="A3" s="74" t="str">
        <x:v>客户ID</x:v>
      </x:c>
      <x:c r="B3" s="70" t="str">
        <x:f>'客户信息采集'!B4</x:f>
        <x:v>〔填写〕</x:v>
      </x:c>
      <x:c r="C3" s="74" t="str">
        <x:v>客户名称</x:v>
      </x:c>
      <x:c r="D3" s="70" t="str">
        <x:f>'客户信息采集'!D4</x:f>
        <x:v>〔填写〕</x:v>
      </x:c>
      <x:c r="E3" s="74" t="str">
        <x:v>基准日</x:v>
      </x:c>
      <x:c r="F3" s="64" t="n">
        <x:v>46253</x:v>
      </x:c>
      <x:c r="G3" s="74" t="str">
        <x:v>负责人</x:v>
      </x:c>
      <x:c r="H3" s="63" t="str">
        <x:v>〔填写〕</x:v>
      </x:c>
      <x:c r="I3" s="74" t="str">
        <x:v>说明</x:v>
      </x:c>
      <x:c r="J3" s="74" t="str">
        <x:v>P1通常≥80；P2为36—79；P3&lt;36</x:v>
      </x:c>
      <x:c r="K3" s="74" t="str"/>
      <x:c r="L3" s="74" t="str"/>
      <x:c r="M3" s="74" t="str"/>
      <x:c r="N3" s="74" t="str"/>
      <x:c r="O3" s="74" t="str"/>
      <x:c r="P3" s="74" t="str"/>
      <x:c r="Q3" s="74" t="str"/>
      <x:c r="R3" s="74" t="str"/>
      <x:c r="S3" s="74" t="str"/>
      <x:c r="T3" s="74" t="str"/>
      <x:c r="U3" s="74" t="str"/>
      <x:c r="V3" s="74" t="str"/>
      <x:c r="W3" s="74" t="str"/>
      <x:c r="X3" s="74" t="str"/>
    </x:row>
    <x:row r="4">
      <x:c r="A4" s="74" t="str">
        <x:v>发布条件</x:v>
      </x:c>
      <x:c r="B4" s="74" t="str">
        <x:v>G1客户核验</x:v>
      </x:c>
      <x:c r="C4" s="74" t="str"/>
      <x:c r="D4" s="74" t="str">
        <x:v>G2专家设计</x:v>
      </x:c>
      <x:c r="E4" s="74" t="str"/>
      <x:c r="F4" s="74" t="str">
        <x:v>G3内部审批</x:v>
      </x:c>
      <x:c r="G4" s="74" t="str"/>
      <x:c r="H4" s="74" t="str">
        <x:v>对客版只保留核验/批准内容</x:v>
      </x:c>
      <x:c r="I4" s="74" t="str"/>
      <x:c r="J4" s="74" t="str"/>
      <x:c r="K4" s="74" t="str"/>
      <x:c r="L4" s="74" t="str"/>
      <x:c r="M4" s="74" t="str"/>
      <x:c r="N4" s="74" t="str"/>
      <x:c r="O4" s="74" t="str"/>
      <x:c r="P4" s="74" t="str"/>
      <x:c r="Q4" s="74" t="str"/>
      <x:c r="R4" s="74" t="str"/>
      <x:c r="S4" s="74" t="str"/>
      <x:c r="T4" s="74" t="str"/>
      <x:c r="U4" s="74" t="str"/>
      <x:c r="V4" s="74" t="str"/>
      <x:c r="W4" s="74" t="str"/>
      <x:c r="X4" s="74" t="str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</x:row>
    <x:row r="6" ht="30" customHeight="1">
      <x:c r="A6" s="17" t="str">
        <x:v>映射ID</x:v>
      </x:c>
      <x:c r="B6" s="17" t="str">
        <x:v>需求ID</x:v>
      </x:c>
      <x:c r="C6" s="17" t="str">
        <x:v>证据状态</x:v>
      </x:c>
      <x:c r="D6" s="17" t="str">
        <x:v>客户目标/触发事件</x:v>
      </x:c>
      <x:c r="E6" s="17" t="str">
        <x:v>痛点与根因</x:v>
      </x:c>
      <x:c r="F6" s="17" t="str">
        <x:v>业务场景</x:v>
      </x:c>
      <x:c r="G6" s="17" t="str">
        <x:v>优先级</x:v>
      </x:c>
      <x:c r="H6" s="17" t="str">
        <x:v>紧迫度</x:v>
      </x:c>
      <x:c r="I6" s="17" t="str">
        <x:v>经营影响</x:v>
      </x:c>
      <x:c r="J6" s="17" t="str">
        <x:v>战略匹配</x:v>
      </x:c>
      <x:c r="K6" s="17" t="str">
        <x:v>优先分</x:v>
      </x:c>
      <x:c r="L6" s="17" t="str">
        <x:v>建议层级</x:v>
      </x:c>
      <x:c r="M6" s="17" t="str">
        <x:v>方案目标</x:v>
      </x:c>
      <x:c r="N6" s="17" t="str">
        <x:v>主方案</x:v>
      </x:c>
      <x:c r="O6" s="17" t="str">
        <x:v>产品/专业服务组合</x:v>
      </x:c>
      <x:c r="P6" s="17" t="str">
        <x:v>备选方案</x:v>
      </x:c>
      <x:c r="Q6" s="17" t="str">
        <x:v>前置条件/材料</x:v>
      </x:c>
      <x:c r="R6" s="17" t="str">
        <x:v>风险控制</x:v>
      </x:c>
      <x:c r="S6" s="17" t="str">
        <x:v>预期价值/KPI</x:v>
      </x:c>
      <x:c r="T6" s="17" t="str">
        <x:v>产品/专家负责人</x:v>
      </x:c>
      <x:c r="U6" s="17" t="str">
        <x:v>审批状态</x:v>
      </x:c>
      <x:c r="V6" s="17" t="str">
        <x:v>客户确认</x:v>
      </x:c>
      <x:c r="W6" s="17" t="str">
        <x:v>计划阶段</x:v>
      </x:c>
      <x:c r="X6" s="17" t="str">
        <x:v>下一里程碑</x:v>
      </x:c>
    </x:row>
    <x:row r="7">
      <x:c r="A7" s="65" t="str">
        <x:v>M-001</x:v>
      </x:c>
      <x:c r="B7" s="65" t="str">
        <x:v>N-001</x:v>
      </x:c>
      <x:c r="C7" s="65" t="str">
        <x:v>H 工作假设</x:v>
      </x:c>
      <x:c r="D7" s="63" t="str"/>
      <x:c r="E7" s="63" t="str"/>
      <x:c r="F7" s="63" t="str"/>
      <x:c r="G7" s="63" t="str"/>
      <x:c r="H7" s="63" t="str"/>
      <x:c r="I7" s="63" t="str"/>
      <x:c r="J7" s="63" t="str"/>
      <x:c r="K7" s="70" t="str">
        <x:f>IF(COUNT(H7:J7)&lt;3,"",H7*I7*J7)</x:f>
      </x:c>
      <x:c r="L7" s="70" t="str">
        <x:f>IF(K7="","",IF(K7&gt;=80,"P1",IF(K7&gt;=36,"P2","P3")))</x:f>
      </x:c>
      <x:c r="M7" s="63" t="str"/>
      <x:c r="N7" s="63" t="str"/>
      <x:c r="O7" s="63" t="str"/>
      <x:c r="P7" s="63" t="str"/>
      <x:c r="Q7" s="63" t="str"/>
      <x:c r="R7" s="63" t="str"/>
      <x:c r="S7" s="63" t="str"/>
      <x:c r="T7" s="63" t="str"/>
      <x:c r="U7" s="63" t="str">
        <x:v>P 待审批</x:v>
      </x:c>
      <x:c r="V7" s="63" t="str">
        <x:v>未确认</x:v>
      </x:c>
      <x:c r="W7" s="63" t="str"/>
      <x:c r="X7" s="63" t="str"/>
    </x:row>
    <x:row r="8">
      <x:c r="A8" s="65" t="str">
        <x:v>M-002</x:v>
      </x:c>
      <x:c r="B8" s="65" t="str">
        <x:v>N-002</x:v>
      </x:c>
      <x:c r="C8" s="65" t="str">
        <x:v>H 工作假设</x:v>
      </x:c>
      <x:c r="D8" s="63" t="str"/>
      <x:c r="E8" s="63" t="str"/>
      <x:c r="F8" s="63" t="str"/>
      <x:c r="G8" s="63" t="str"/>
      <x:c r="H8" s="63" t="str"/>
      <x:c r="I8" s="63" t="str"/>
      <x:c r="J8" s="63" t="str"/>
      <x:c r="K8" s="70" t="str">
        <x:f>IF(COUNT(H8:J8)&lt;3,"",H8*I8*J8)</x:f>
      </x:c>
      <x:c r="L8" s="70" t="str">
        <x:f>IF(K8="","",IF(K8&gt;=80,"P1",IF(K8&gt;=36,"P2","P3")))</x:f>
      </x:c>
      <x:c r="M8" s="63" t="str"/>
      <x:c r="N8" s="63" t="str"/>
      <x:c r="O8" s="63" t="str"/>
      <x:c r="P8" s="63" t="str"/>
      <x:c r="Q8" s="63" t="str"/>
      <x:c r="R8" s="63" t="str"/>
      <x:c r="S8" s="63" t="str"/>
      <x:c r="T8" s="63" t="str"/>
      <x:c r="U8" s="63" t="str">
        <x:v>P 待审批</x:v>
      </x:c>
      <x:c r="V8" s="63" t="str">
        <x:v>未确认</x:v>
      </x:c>
      <x:c r="W8" s="63" t="str"/>
      <x:c r="X8" s="63" t="str"/>
    </x:row>
    <x:row r="9">
      <x:c r="A9" s="65" t="str">
        <x:v>M-003</x:v>
      </x:c>
      <x:c r="B9" s="65" t="str">
        <x:v>N-003</x:v>
      </x:c>
      <x:c r="C9" s="65" t="str">
        <x:v>H 工作假设</x:v>
      </x:c>
      <x:c r="D9" s="63" t="str"/>
      <x:c r="E9" s="63" t="str"/>
      <x:c r="F9" s="63" t="str"/>
      <x:c r="G9" s="63" t="str"/>
      <x:c r="H9" s="63" t="str"/>
      <x:c r="I9" s="63" t="str"/>
      <x:c r="J9" s="63" t="str"/>
      <x:c r="K9" s="70" t="str">
        <x:f>IF(COUNT(H9:J9)&lt;3,"",H9*I9*J9)</x:f>
      </x:c>
      <x:c r="L9" s="70" t="str">
        <x:f>IF(K9="","",IF(K9&gt;=80,"P1",IF(K9&gt;=36,"P2","P3")))</x:f>
      </x:c>
      <x:c r="M9" s="63" t="str"/>
      <x:c r="N9" s="63" t="str"/>
      <x:c r="O9" s="63" t="str"/>
      <x:c r="P9" s="63" t="str"/>
      <x:c r="Q9" s="63" t="str"/>
      <x:c r="R9" s="63" t="str"/>
      <x:c r="S9" s="63" t="str"/>
      <x:c r="T9" s="63" t="str"/>
      <x:c r="U9" s="63" t="str">
        <x:v>P 待审批</x:v>
      </x:c>
      <x:c r="V9" s="63" t="str">
        <x:v>未确认</x:v>
      </x:c>
      <x:c r="W9" s="63" t="str"/>
      <x:c r="X9" s="63" t="str"/>
    </x:row>
    <x:row r="10">
      <x:c r="A10" s="65" t="str">
        <x:v>M-004</x:v>
      </x:c>
      <x:c r="B10" s="65" t="str">
        <x:v>N-004</x:v>
      </x:c>
      <x:c r="C10" s="65" t="str">
        <x:v>H 工作假设</x:v>
      </x:c>
      <x:c r="D10" s="63" t="str"/>
      <x:c r="E10" s="63" t="str"/>
      <x:c r="F10" s="63" t="str"/>
      <x:c r="G10" s="63" t="str"/>
      <x:c r="H10" s="63" t="str"/>
      <x:c r="I10" s="63" t="str"/>
      <x:c r="J10" s="63" t="str"/>
      <x:c r="K10" s="70" t="str">
        <x:f>IF(COUNT(H10:J10)&lt;3,"",H10*I10*J10)</x:f>
      </x:c>
      <x:c r="L10" s="70" t="str">
        <x:f>IF(K10="","",IF(K10&gt;=80,"P1",IF(K10&gt;=36,"P2","P3")))</x:f>
      </x:c>
      <x:c r="M10" s="63" t="str"/>
      <x:c r="N10" s="63" t="str"/>
      <x:c r="O10" s="63" t="str"/>
      <x:c r="P10" s="63" t="str"/>
      <x:c r="Q10" s="63" t="str"/>
      <x:c r="R10" s="63" t="str"/>
      <x:c r="S10" s="63" t="str"/>
      <x:c r="T10" s="63" t="str"/>
      <x:c r="U10" s="63" t="str">
        <x:v>P 待审批</x:v>
      </x:c>
      <x:c r="V10" s="63" t="str">
        <x:v>未确认</x:v>
      </x:c>
      <x:c r="W10" s="63" t="str"/>
      <x:c r="X10" s="63" t="str"/>
    </x:row>
    <x:row r="11">
      <x:c r="A11" s="65" t="str">
        <x:v>M-005</x:v>
      </x:c>
      <x:c r="B11" s="65" t="str">
        <x:v>N-005</x:v>
      </x:c>
      <x:c r="C11" s="65" t="str">
        <x:v>H 工作假设</x:v>
      </x:c>
      <x:c r="D11" s="63" t="str"/>
      <x:c r="E11" s="63" t="str"/>
      <x:c r="F11" s="63" t="str"/>
      <x:c r="G11" s="63" t="str"/>
      <x:c r="H11" s="63" t="str"/>
      <x:c r="I11" s="63" t="str"/>
      <x:c r="J11" s="63" t="str"/>
      <x:c r="K11" s="70" t="str">
        <x:f>IF(COUNT(H11:J11)&lt;3,"",H11*I11*J11)</x:f>
      </x:c>
      <x:c r="L11" s="70" t="str">
        <x:f>IF(K11="","",IF(K11&gt;=80,"P1",IF(K11&gt;=36,"P2","P3")))</x:f>
      </x:c>
      <x:c r="M11" s="63" t="str"/>
      <x:c r="N11" s="63" t="str"/>
      <x:c r="O11" s="63" t="str"/>
      <x:c r="P11" s="63" t="str"/>
      <x:c r="Q11" s="63" t="str"/>
      <x:c r="R11" s="63" t="str"/>
      <x:c r="S11" s="63" t="str"/>
      <x:c r="T11" s="63" t="str"/>
      <x:c r="U11" s="63" t="str">
        <x:v>P 待审批</x:v>
      </x:c>
      <x:c r="V11" s="63" t="str">
        <x:v>未确认</x:v>
      </x:c>
      <x:c r="W11" s="63" t="str"/>
      <x:c r="X11" s="63" t="str"/>
    </x:row>
    <x:row r="12">
      <x:c r="A12" s="65" t="str">
        <x:v>M-006</x:v>
      </x:c>
      <x:c r="B12" s="65" t="str">
        <x:v>N-006</x:v>
      </x:c>
      <x:c r="C12" s="65" t="str">
        <x:v>H 工作假设</x:v>
      </x:c>
      <x:c r="D12" s="63" t="str"/>
      <x:c r="E12" s="63" t="str"/>
      <x:c r="F12" s="63" t="str"/>
      <x:c r="G12" s="63" t="str"/>
      <x:c r="H12" s="63" t="str"/>
      <x:c r="I12" s="63" t="str"/>
      <x:c r="J12" s="63" t="str"/>
      <x:c r="K12" s="70" t="str">
        <x:f>IF(COUNT(H12:J12)&lt;3,"",H12*I12*J12)</x:f>
      </x:c>
      <x:c r="L12" s="70" t="str">
        <x:f>IF(K12="","",IF(K12&gt;=80,"P1",IF(K12&gt;=36,"P2","P3")))</x:f>
      </x:c>
      <x:c r="M12" s="63" t="str"/>
      <x:c r="N12" s="63" t="str"/>
      <x:c r="O12" s="63" t="str"/>
      <x:c r="P12" s="63" t="str"/>
      <x:c r="Q12" s="63" t="str"/>
      <x:c r="R12" s="63" t="str"/>
      <x:c r="S12" s="63" t="str"/>
      <x:c r="T12" s="63" t="str"/>
      <x:c r="U12" s="63" t="str">
        <x:v>P 待审批</x:v>
      </x:c>
      <x:c r="V12" s="63" t="str">
        <x:v>未确认</x:v>
      </x:c>
      <x:c r="W12" s="63" t="str"/>
      <x:c r="X12" s="63" t="str"/>
    </x:row>
    <x:row r="13">
      <x:c r="A13" s="65" t="str">
        <x:v>M-007</x:v>
      </x:c>
      <x:c r="B13" s="65" t="str">
        <x:v>N-007</x:v>
      </x:c>
      <x:c r="C13" s="65" t="str">
        <x:v>H 工作假设</x:v>
      </x:c>
      <x:c r="D13" s="63" t="str"/>
      <x:c r="E13" s="63" t="str"/>
      <x:c r="F13" s="63" t="str"/>
      <x:c r="G13" s="63" t="str"/>
      <x:c r="H13" s="63" t="str"/>
      <x:c r="I13" s="63" t="str"/>
      <x:c r="J13" s="63" t="str"/>
      <x:c r="K13" s="70" t="str">
        <x:f>IF(COUNT(H13:J13)&lt;3,"",H13*I13*J13)</x:f>
      </x:c>
      <x:c r="L13" s="70" t="str">
        <x:f>IF(K13="","",IF(K13&gt;=80,"P1",IF(K13&gt;=36,"P2","P3")))</x:f>
      </x:c>
      <x:c r="M13" s="63" t="str"/>
      <x:c r="N13" s="63" t="str"/>
      <x:c r="O13" s="63" t="str"/>
      <x:c r="P13" s="63" t="str"/>
      <x:c r="Q13" s="63" t="str"/>
      <x:c r="R13" s="63" t="str"/>
      <x:c r="S13" s="63" t="str"/>
      <x:c r="T13" s="63" t="str"/>
      <x:c r="U13" s="63" t="str">
        <x:v>P 待审批</x:v>
      </x:c>
      <x:c r="V13" s="63" t="str">
        <x:v>未确认</x:v>
      </x:c>
      <x:c r="W13" s="63" t="str"/>
      <x:c r="X13" s="63" t="str"/>
    </x:row>
    <x:row r="14">
      <x:c r="A14" s="65" t="str">
        <x:v>M-008</x:v>
      </x:c>
      <x:c r="B14" s="65" t="str">
        <x:v>N-008</x:v>
      </x:c>
      <x:c r="C14" s="65" t="str">
        <x:v>H 工作假设</x:v>
      </x:c>
      <x:c r="D14" s="63" t="str"/>
      <x:c r="E14" s="63" t="str"/>
      <x:c r="F14" s="63" t="str"/>
      <x:c r="G14" s="63" t="str"/>
      <x:c r="H14" s="63" t="str"/>
      <x:c r="I14" s="63" t="str"/>
      <x:c r="J14" s="63" t="str"/>
      <x:c r="K14" s="70" t="str">
        <x:f>IF(COUNT(H14:J14)&lt;3,"",H14*I14*J14)</x:f>
      </x:c>
      <x:c r="L14" s="70" t="str">
        <x:f>IF(K14="","",IF(K14&gt;=80,"P1",IF(K14&gt;=36,"P2","P3")))</x:f>
      </x:c>
      <x:c r="M14" s="63" t="str"/>
      <x:c r="N14" s="63" t="str"/>
      <x:c r="O14" s="63" t="str"/>
      <x:c r="P14" s="63" t="str"/>
      <x:c r="Q14" s="63" t="str"/>
      <x:c r="R14" s="63" t="str"/>
      <x:c r="S14" s="63" t="str"/>
      <x:c r="T14" s="63" t="str"/>
      <x:c r="U14" s="63" t="str">
        <x:v>P 待审批</x:v>
      </x:c>
      <x:c r="V14" s="63" t="str">
        <x:v>未确认</x:v>
      </x:c>
      <x:c r="W14" s="63" t="str"/>
      <x:c r="X14" s="63" t="str"/>
    </x:row>
    <x:row r="15">
      <x:c r="A15" s="65" t="str">
        <x:v>M-009</x:v>
      </x:c>
      <x:c r="B15" s="65" t="str">
        <x:v>N-009</x:v>
      </x:c>
      <x:c r="C15" s="65" t="str">
        <x:v>H 工作假设</x:v>
      </x:c>
      <x:c r="D15" s="63" t="str"/>
      <x:c r="E15" s="63" t="str"/>
      <x:c r="F15" s="63" t="str"/>
      <x:c r="G15" s="63" t="str"/>
      <x:c r="H15" s="63" t="str"/>
      <x:c r="I15" s="63" t="str"/>
      <x:c r="J15" s="63" t="str"/>
      <x:c r="K15" s="70" t="str">
        <x:f>IF(COUNT(H15:J15)&lt;3,"",H15*I15*J15)</x:f>
      </x:c>
      <x:c r="L15" s="70" t="str">
        <x:f>IF(K15="","",IF(K15&gt;=80,"P1",IF(K15&gt;=36,"P2","P3")))</x:f>
      </x:c>
      <x:c r="M15" s="63" t="str"/>
      <x:c r="N15" s="63" t="str"/>
      <x:c r="O15" s="63" t="str"/>
      <x:c r="P15" s="63" t="str"/>
      <x:c r="Q15" s="63" t="str"/>
      <x:c r="R15" s="63" t="str"/>
      <x:c r="S15" s="63" t="str"/>
      <x:c r="T15" s="63" t="str"/>
      <x:c r="U15" s="63" t="str">
        <x:v>P 待审批</x:v>
      </x:c>
      <x:c r="V15" s="63" t="str">
        <x:v>未确认</x:v>
      </x:c>
      <x:c r="W15" s="63" t="str"/>
      <x:c r="X15" s="63" t="str"/>
    </x:row>
    <x:row r="16">
      <x:c r="A16" s="65" t="str">
        <x:v>M-010</x:v>
      </x:c>
      <x:c r="B16" s="65" t="str">
        <x:v>N-010</x:v>
      </x:c>
      <x:c r="C16" s="65" t="str">
        <x:v>H 工作假设</x:v>
      </x:c>
      <x:c r="D16" s="63" t="str"/>
      <x:c r="E16" s="63" t="str"/>
      <x:c r="F16" s="63" t="str"/>
      <x:c r="G16" s="63" t="str"/>
      <x:c r="H16" s="63" t="str"/>
      <x:c r="I16" s="63" t="str"/>
      <x:c r="J16" s="63" t="str"/>
      <x:c r="K16" s="70" t="str">
        <x:f>IF(COUNT(H16:J16)&lt;3,"",H16*I16*J16)</x:f>
      </x:c>
      <x:c r="L16" s="70" t="str">
        <x:f>IF(K16="","",IF(K16&gt;=80,"P1",IF(K16&gt;=36,"P2","P3")))</x:f>
      </x:c>
      <x:c r="M16" s="63" t="str"/>
      <x:c r="N16" s="63" t="str"/>
      <x:c r="O16" s="63" t="str"/>
      <x:c r="P16" s="63" t="str"/>
      <x:c r="Q16" s="63" t="str"/>
      <x:c r="R16" s="63" t="str"/>
      <x:c r="S16" s="63" t="str"/>
      <x:c r="T16" s="63" t="str"/>
      <x:c r="U16" s="63" t="str">
        <x:v>P 待审批</x:v>
      </x:c>
      <x:c r="V16" s="63" t="str">
        <x:v>未确认</x:v>
      </x:c>
      <x:c r="W16" s="63" t="str"/>
      <x:c r="X16" s="63" t="str"/>
    </x:row>
    <x:row r="17">
      <x:c r="A17" s="65" t="str">
        <x:v>M-011</x:v>
      </x:c>
      <x:c r="B17" s="65" t="str">
        <x:v>N-011</x:v>
      </x:c>
      <x:c r="C17" s="65" t="str">
        <x:v>H 工作假设</x:v>
      </x:c>
      <x:c r="D17" s="63" t="str"/>
      <x:c r="E17" s="63" t="str"/>
      <x:c r="F17" s="63" t="str"/>
      <x:c r="G17" s="63" t="str"/>
      <x:c r="H17" s="63" t="str"/>
      <x:c r="I17" s="63" t="str"/>
      <x:c r="J17" s="63" t="str"/>
      <x:c r="K17" s="70" t="str">
        <x:f>IF(COUNT(H17:J17)&lt;3,"",H17*I17*J17)</x:f>
      </x:c>
      <x:c r="L17" s="70" t="str">
        <x:f>IF(K17="","",IF(K17&gt;=80,"P1",IF(K17&gt;=36,"P2","P3")))</x:f>
      </x:c>
      <x:c r="M17" s="63" t="str"/>
      <x:c r="N17" s="63" t="str"/>
      <x:c r="O17" s="63" t="str"/>
      <x:c r="P17" s="63" t="str"/>
      <x:c r="Q17" s="63" t="str"/>
      <x:c r="R17" s="63" t="str"/>
      <x:c r="S17" s="63" t="str"/>
      <x:c r="T17" s="63" t="str"/>
      <x:c r="U17" s="63" t="str">
        <x:v>P 待审批</x:v>
      </x:c>
      <x:c r="V17" s="63" t="str">
        <x:v>未确认</x:v>
      </x:c>
      <x:c r="W17" s="63" t="str"/>
      <x:c r="X17" s="63" t="str"/>
    </x:row>
    <x:row r="18">
      <x:c r="A18" s="65" t="str">
        <x:v>M-012</x:v>
      </x:c>
      <x:c r="B18" s="65" t="str">
        <x:v>N-012</x:v>
      </x:c>
      <x:c r="C18" s="65" t="str">
        <x:v>H 工作假设</x:v>
      </x:c>
      <x:c r="D18" s="63" t="str"/>
      <x:c r="E18" s="63" t="str"/>
      <x:c r="F18" s="63" t="str"/>
      <x:c r="G18" s="63" t="str"/>
      <x:c r="H18" s="63" t="str"/>
      <x:c r="I18" s="63" t="str"/>
      <x:c r="J18" s="63" t="str"/>
      <x:c r="K18" s="70" t="str">
        <x:f>IF(COUNT(H18:J18)&lt;3,"",H18*I18*J18)</x:f>
      </x:c>
      <x:c r="L18" s="70" t="str">
        <x:f>IF(K18="","",IF(K18&gt;=80,"P1",IF(K18&gt;=36,"P2","P3")))</x:f>
      </x:c>
      <x:c r="M18" s="63" t="str"/>
      <x:c r="N18" s="63" t="str"/>
      <x:c r="O18" s="63" t="str"/>
      <x:c r="P18" s="63" t="str"/>
      <x:c r="Q18" s="63" t="str"/>
      <x:c r="R18" s="63" t="str"/>
      <x:c r="S18" s="63" t="str"/>
      <x:c r="T18" s="63" t="str"/>
      <x:c r="U18" s="63" t="str">
        <x:v>P 待审批</x:v>
      </x:c>
      <x:c r="V18" s="63" t="str">
        <x:v>未确认</x:v>
      </x:c>
      <x:c r="W18" s="63" t="str"/>
      <x:c r="X18" s="63" t="str"/>
    </x:row>
    <x:row r="19">
      <x:c r="A19" s="65" t="str">
        <x:v>M-013</x:v>
      </x:c>
      <x:c r="B19" s="65" t="str">
        <x:v>N-013</x:v>
      </x:c>
      <x:c r="C19" s="65" t="str">
        <x:v>H 工作假设</x:v>
      </x:c>
      <x:c r="D19" s="63" t="str"/>
      <x:c r="E19" s="63" t="str"/>
      <x:c r="F19" s="63" t="str"/>
      <x:c r="G19" s="63" t="str"/>
      <x:c r="H19" s="63" t="str"/>
      <x:c r="I19" s="63" t="str"/>
      <x:c r="J19" s="63" t="str"/>
      <x:c r="K19" s="70" t="str">
        <x:f>IF(COUNT(H19:J19)&lt;3,"",H19*I19*J19)</x:f>
      </x:c>
      <x:c r="L19" s="70" t="str">
        <x:f>IF(K19="","",IF(K19&gt;=80,"P1",IF(K19&gt;=36,"P2","P3")))</x:f>
      </x:c>
      <x:c r="M19" s="63" t="str"/>
      <x:c r="N19" s="63" t="str"/>
      <x:c r="O19" s="63" t="str"/>
      <x:c r="P19" s="63" t="str"/>
      <x:c r="Q19" s="63" t="str"/>
      <x:c r="R19" s="63" t="str"/>
      <x:c r="S19" s="63" t="str"/>
      <x:c r="T19" s="63" t="str"/>
      <x:c r="U19" s="63" t="str">
        <x:v>P 待审批</x:v>
      </x:c>
      <x:c r="V19" s="63" t="str">
        <x:v>未确认</x:v>
      </x:c>
      <x:c r="W19" s="63" t="str"/>
      <x:c r="X19" s="63" t="str"/>
    </x:row>
    <x:row r="20">
      <x:c r="A20" s="65" t="str">
        <x:v>M-014</x:v>
      </x:c>
      <x:c r="B20" s="65" t="str">
        <x:v>N-014</x:v>
      </x:c>
      <x:c r="C20" s="65" t="str">
        <x:v>H 工作假设</x:v>
      </x:c>
      <x:c r="D20" s="63" t="str"/>
      <x:c r="E20" s="63" t="str"/>
      <x:c r="F20" s="63" t="str"/>
      <x:c r="G20" s="63" t="str"/>
      <x:c r="H20" s="63" t="str"/>
      <x:c r="I20" s="63" t="str"/>
      <x:c r="J20" s="63" t="str"/>
      <x:c r="K20" s="70" t="str">
        <x:f>IF(COUNT(H20:J20)&lt;3,"",H20*I20*J20)</x:f>
      </x:c>
      <x:c r="L20" s="70" t="str">
        <x:f>IF(K20="","",IF(K20&gt;=80,"P1",IF(K20&gt;=36,"P2","P3")))</x:f>
      </x:c>
      <x:c r="M20" s="63" t="str"/>
      <x:c r="N20" s="63" t="str"/>
      <x:c r="O20" s="63" t="str"/>
      <x:c r="P20" s="63" t="str"/>
      <x:c r="Q20" s="63" t="str"/>
      <x:c r="R20" s="63" t="str"/>
      <x:c r="S20" s="63" t="str"/>
      <x:c r="T20" s="63" t="str"/>
      <x:c r="U20" s="63" t="str">
        <x:v>P 待审批</x:v>
      </x:c>
      <x:c r="V20" s="63" t="str">
        <x:v>未确认</x:v>
      </x:c>
      <x:c r="W20" s="63" t="str"/>
      <x:c r="X20" s="63" t="str"/>
    </x:row>
    <x:row r="21">
      <x:c r="A21" s="65" t="str">
        <x:v>M-015</x:v>
      </x:c>
      <x:c r="B21" s="65" t="str">
        <x:v>N-015</x:v>
      </x:c>
      <x:c r="C21" s="65" t="str">
        <x:v>H 工作假设</x:v>
      </x:c>
      <x:c r="D21" s="63" t="str"/>
      <x:c r="E21" s="63" t="str"/>
      <x:c r="F21" s="63" t="str"/>
      <x:c r="G21" s="63" t="str"/>
      <x:c r="H21" s="63" t="str"/>
      <x:c r="I21" s="63" t="str"/>
      <x:c r="J21" s="63" t="str"/>
      <x:c r="K21" s="70" t="str">
        <x:f>IF(COUNT(H21:J21)&lt;3,"",H21*I21*J21)</x:f>
      </x:c>
      <x:c r="L21" s="70" t="str">
        <x:f>IF(K21="","",IF(K21&gt;=80,"P1",IF(K21&gt;=36,"P2","P3")))</x:f>
      </x:c>
      <x:c r="M21" s="63" t="str"/>
      <x:c r="N21" s="63" t="str"/>
      <x:c r="O21" s="63" t="str"/>
      <x:c r="P21" s="63" t="str"/>
      <x:c r="Q21" s="63" t="str"/>
      <x:c r="R21" s="63" t="str"/>
      <x:c r="S21" s="63" t="str"/>
      <x:c r="T21" s="63" t="str"/>
      <x:c r="U21" s="63" t="str">
        <x:v>P 待审批</x:v>
      </x:c>
      <x:c r="V21" s="63" t="str">
        <x:v>未确认</x:v>
      </x:c>
      <x:c r="W21" s="63" t="str"/>
      <x:c r="X21" s="63" t="str"/>
    </x:row>
    <x:row r="22">
      <x:c r="A22" s="65" t="str">
        <x:v>M-016</x:v>
      </x:c>
      <x:c r="B22" s="65" t="str">
        <x:v>N-016</x:v>
      </x:c>
      <x:c r="C22" s="65" t="str">
        <x:v>H 工作假设</x:v>
      </x:c>
      <x:c r="D22" s="63" t="str"/>
      <x:c r="E22" s="63" t="str"/>
      <x:c r="F22" s="63" t="str"/>
      <x:c r="G22" s="63" t="str"/>
      <x:c r="H22" s="63" t="str"/>
      <x:c r="I22" s="63" t="str"/>
      <x:c r="J22" s="63" t="str"/>
      <x:c r="K22" s="70" t="str">
        <x:f>IF(COUNT(H22:J22)&lt;3,"",H22*I22*J22)</x:f>
      </x:c>
      <x:c r="L22" s="70" t="str">
        <x:f>IF(K22="","",IF(K22&gt;=80,"P1",IF(K22&gt;=36,"P2","P3")))</x:f>
      </x:c>
      <x:c r="M22" s="63" t="str"/>
      <x:c r="N22" s="63" t="str"/>
      <x:c r="O22" s="63" t="str"/>
      <x:c r="P22" s="63" t="str"/>
      <x:c r="Q22" s="63" t="str"/>
      <x:c r="R22" s="63" t="str"/>
      <x:c r="S22" s="63" t="str"/>
      <x:c r="T22" s="63" t="str"/>
      <x:c r="U22" s="63" t="str">
        <x:v>P 待审批</x:v>
      </x:c>
      <x:c r="V22" s="63" t="str">
        <x:v>未确认</x:v>
      </x:c>
      <x:c r="W22" s="63" t="str"/>
      <x:c r="X22" s="63" t="str"/>
    </x:row>
    <x:row r="23">
      <x:c r="A23" s="65" t="str">
        <x:v>M-017</x:v>
      </x:c>
      <x:c r="B23" s="65" t="str">
        <x:v>N-017</x:v>
      </x:c>
      <x:c r="C23" s="65" t="str">
        <x:v>H 工作假设</x:v>
      </x:c>
      <x:c r="D23" s="63" t="str"/>
      <x:c r="E23" s="63" t="str"/>
      <x:c r="F23" s="63" t="str"/>
      <x:c r="G23" s="63" t="str"/>
      <x:c r="H23" s="63" t="str"/>
      <x:c r="I23" s="63" t="str"/>
      <x:c r="J23" s="63" t="str"/>
      <x:c r="K23" s="70" t="str">
        <x:f>IF(COUNT(H23:J23)&lt;3,"",H23*I23*J23)</x:f>
      </x:c>
      <x:c r="L23" s="70" t="str">
        <x:f>IF(K23="","",IF(K23&gt;=80,"P1",IF(K23&gt;=36,"P2","P3")))</x:f>
      </x:c>
      <x:c r="M23" s="63" t="str"/>
      <x:c r="N23" s="63" t="str"/>
      <x:c r="O23" s="63" t="str"/>
      <x:c r="P23" s="63" t="str"/>
      <x:c r="Q23" s="63" t="str"/>
      <x:c r="R23" s="63" t="str"/>
      <x:c r="S23" s="63" t="str"/>
      <x:c r="T23" s="63" t="str"/>
      <x:c r="U23" s="63" t="str">
        <x:v>P 待审批</x:v>
      </x:c>
      <x:c r="V23" s="63" t="str">
        <x:v>未确认</x:v>
      </x:c>
      <x:c r="W23" s="63" t="str"/>
      <x:c r="X23" s="63" t="str"/>
    </x:row>
    <x:row r="24">
      <x:c r="A24" s="65" t="str">
        <x:v>M-018</x:v>
      </x:c>
      <x:c r="B24" s="65" t="str">
        <x:v>N-018</x:v>
      </x:c>
      <x:c r="C24" s="65" t="str">
        <x:v>H 工作假设</x:v>
      </x:c>
      <x:c r="D24" s="63" t="str"/>
      <x:c r="E24" s="63" t="str"/>
      <x:c r="F24" s="63" t="str"/>
      <x:c r="G24" s="63" t="str"/>
      <x:c r="H24" s="63" t="str"/>
      <x:c r="I24" s="63" t="str"/>
      <x:c r="J24" s="63" t="str"/>
      <x:c r="K24" s="70" t="str">
        <x:f>IF(COUNT(H24:J24)&lt;3,"",H24*I24*J24)</x:f>
      </x:c>
      <x:c r="L24" s="70" t="str">
        <x:f>IF(K24="","",IF(K24&gt;=80,"P1",IF(K24&gt;=36,"P2","P3")))</x:f>
      </x:c>
      <x:c r="M24" s="63" t="str"/>
      <x:c r="N24" s="63" t="str"/>
      <x:c r="O24" s="63" t="str"/>
      <x:c r="P24" s="63" t="str"/>
      <x:c r="Q24" s="63" t="str"/>
      <x:c r="R24" s="63" t="str"/>
      <x:c r="S24" s="63" t="str"/>
      <x:c r="T24" s="63" t="str"/>
      <x:c r="U24" s="63" t="str">
        <x:v>P 待审批</x:v>
      </x:c>
      <x:c r="V24" s="63" t="str">
        <x:v>未确认</x:v>
      </x:c>
      <x:c r="W24" s="63" t="str"/>
      <x:c r="X24" s="63" t="str"/>
    </x:row>
    <x:row r="25">
      <x:c r="A25" s="65" t="str">
        <x:v>M-019</x:v>
      </x:c>
      <x:c r="B25" s="65" t="str">
        <x:v>N-019</x:v>
      </x:c>
      <x:c r="C25" s="65" t="str">
        <x:v>H 工作假设</x:v>
      </x:c>
      <x:c r="D25" s="63" t="str"/>
      <x:c r="E25" s="63" t="str"/>
      <x:c r="F25" s="63" t="str"/>
      <x:c r="G25" s="63" t="str"/>
      <x:c r="H25" s="63" t="str"/>
      <x:c r="I25" s="63" t="str"/>
      <x:c r="J25" s="63" t="str"/>
      <x:c r="K25" s="70" t="str">
        <x:f>IF(COUNT(H25:J25)&lt;3,"",H25*I25*J25)</x:f>
      </x:c>
      <x:c r="L25" s="70" t="str">
        <x:f>IF(K25="","",IF(K25&gt;=80,"P1",IF(K25&gt;=36,"P2","P3")))</x:f>
      </x:c>
      <x:c r="M25" s="63" t="str"/>
      <x:c r="N25" s="63" t="str"/>
      <x:c r="O25" s="63" t="str"/>
      <x:c r="P25" s="63" t="str"/>
      <x:c r="Q25" s="63" t="str"/>
      <x:c r="R25" s="63" t="str"/>
      <x:c r="S25" s="63" t="str"/>
      <x:c r="T25" s="63" t="str"/>
      <x:c r="U25" s="63" t="str">
        <x:v>P 待审批</x:v>
      </x:c>
      <x:c r="V25" s="63" t="str">
        <x:v>未确认</x:v>
      </x:c>
      <x:c r="W25" s="63" t="str"/>
      <x:c r="X25" s="63" t="str"/>
    </x:row>
    <x:row r="26">
      <x:c r="A26" s="65" t="str">
        <x:v>M-020</x:v>
      </x:c>
      <x:c r="B26" s="65" t="str">
        <x:v>N-020</x:v>
      </x:c>
      <x:c r="C26" s="65" t="str">
        <x:v>H 工作假设</x:v>
      </x:c>
      <x:c r="D26" s="63" t="str"/>
      <x:c r="E26" s="63" t="str"/>
      <x:c r="F26" s="63" t="str"/>
      <x:c r="G26" s="63" t="str"/>
      <x:c r="H26" s="63" t="str"/>
      <x:c r="I26" s="63" t="str"/>
      <x:c r="J26" s="63" t="str"/>
      <x:c r="K26" s="70" t="str">
        <x:f>IF(COUNT(H26:J26)&lt;3,"",H26*I26*J26)</x:f>
      </x:c>
      <x:c r="L26" s="70" t="str">
        <x:f>IF(K26="","",IF(K26&gt;=80,"P1",IF(K26&gt;=36,"P2","P3")))</x:f>
      </x:c>
      <x:c r="M26" s="63" t="str"/>
      <x:c r="N26" s="63" t="str"/>
      <x:c r="O26" s="63" t="str"/>
      <x:c r="P26" s="63" t="str"/>
      <x:c r="Q26" s="63" t="str"/>
      <x:c r="R26" s="63" t="str"/>
      <x:c r="S26" s="63" t="str"/>
      <x:c r="T26" s="63" t="str"/>
      <x:c r="U26" s="63" t="str">
        <x:v>P 待审批</x:v>
      </x:c>
      <x:c r="V26" s="63" t="str">
        <x:v>未确认</x:v>
      </x:c>
      <x:c r="W26" s="63" t="str"/>
      <x:c r="X26" s="63" t="str"/>
    </x:row>
    <x:row r="27">
      <x:c r="A27" s="65" t="str">
        <x:v>M-021</x:v>
      </x:c>
      <x:c r="B27" s="65" t="str">
        <x:v>N-021</x:v>
      </x:c>
      <x:c r="C27" s="65" t="str">
        <x:v>H 工作假设</x:v>
      </x:c>
      <x:c r="D27" s="63" t="str"/>
      <x:c r="E27" s="63" t="str"/>
      <x:c r="F27" s="63" t="str"/>
      <x:c r="G27" s="63" t="str"/>
      <x:c r="H27" s="63" t="str"/>
      <x:c r="I27" s="63" t="str"/>
      <x:c r="J27" s="63" t="str"/>
      <x:c r="K27" s="70" t="str">
        <x:f>IF(COUNT(H27:J27)&lt;3,"",H27*I27*J27)</x:f>
      </x:c>
      <x:c r="L27" s="70" t="str">
        <x:f>IF(K27="","",IF(K27&gt;=80,"P1",IF(K27&gt;=36,"P2","P3")))</x:f>
      </x:c>
      <x:c r="M27" s="63" t="str"/>
      <x:c r="N27" s="63" t="str"/>
      <x:c r="O27" s="63" t="str"/>
      <x:c r="P27" s="63" t="str"/>
      <x:c r="Q27" s="63" t="str"/>
      <x:c r="R27" s="63" t="str"/>
      <x:c r="S27" s="63" t="str"/>
      <x:c r="T27" s="63" t="str"/>
      <x:c r="U27" s="63" t="str">
        <x:v>P 待审批</x:v>
      </x:c>
      <x:c r="V27" s="63" t="str">
        <x:v>未确认</x:v>
      </x:c>
      <x:c r="W27" s="63" t="str"/>
      <x:c r="X27" s="63" t="str"/>
    </x:row>
    <x:row r="28">
      <x:c r="A28" s="65" t="str">
        <x:v>M-022</x:v>
      </x:c>
      <x:c r="B28" s="65" t="str">
        <x:v>N-022</x:v>
      </x:c>
      <x:c r="C28" s="65" t="str">
        <x:v>H 工作假设</x:v>
      </x:c>
      <x:c r="D28" s="63" t="str"/>
      <x:c r="E28" s="63" t="str"/>
      <x:c r="F28" s="63" t="str"/>
      <x:c r="G28" s="63" t="str"/>
      <x:c r="H28" s="63" t="str"/>
      <x:c r="I28" s="63" t="str"/>
      <x:c r="J28" s="63" t="str"/>
      <x:c r="K28" s="70" t="str">
        <x:f>IF(COUNT(H28:J28)&lt;3,"",H28*I28*J28)</x:f>
      </x:c>
      <x:c r="L28" s="70" t="str">
        <x:f>IF(K28="","",IF(K28&gt;=80,"P1",IF(K28&gt;=36,"P2","P3")))</x:f>
      </x:c>
      <x:c r="M28" s="63" t="str"/>
      <x:c r="N28" s="63" t="str"/>
      <x:c r="O28" s="63" t="str"/>
      <x:c r="P28" s="63" t="str"/>
      <x:c r="Q28" s="63" t="str"/>
      <x:c r="R28" s="63" t="str"/>
      <x:c r="S28" s="63" t="str"/>
      <x:c r="T28" s="63" t="str"/>
      <x:c r="U28" s="63" t="str">
        <x:v>P 待审批</x:v>
      </x:c>
      <x:c r="V28" s="63" t="str">
        <x:v>未确认</x:v>
      </x:c>
      <x:c r="W28" s="63" t="str"/>
      <x:c r="X28" s="63" t="str"/>
    </x:row>
    <x:row r="29">
      <x:c r="A29" s="65" t="str">
        <x:v>M-023</x:v>
      </x:c>
      <x:c r="B29" s="65" t="str">
        <x:v>N-023</x:v>
      </x:c>
      <x:c r="C29" s="65" t="str">
        <x:v>H 工作假设</x:v>
      </x:c>
      <x:c r="D29" s="63" t="str"/>
      <x:c r="E29" s="63" t="str"/>
      <x:c r="F29" s="63" t="str"/>
      <x:c r="G29" s="63" t="str"/>
      <x:c r="H29" s="63" t="str"/>
      <x:c r="I29" s="63" t="str"/>
      <x:c r="J29" s="63" t="str"/>
      <x:c r="K29" s="70" t="str">
        <x:f>IF(COUNT(H29:J29)&lt;3,"",H29*I29*J29)</x:f>
      </x:c>
      <x:c r="L29" s="70" t="str">
        <x:f>IF(K29="","",IF(K29&gt;=80,"P1",IF(K29&gt;=36,"P2","P3")))</x:f>
      </x:c>
      <x:c r="M29" s="63" t="str"/>
      <x:c r="N29" s="63" t="str"/>
      <x:c r="O29" s="63" t="str"/>
      <x:c r="P29" s="63" t="str"/>
      <x:c r="Q29" s="63" t="str"/>
      <x:c r="R29" s="63" t="str"/>
      <x:c r="S29" s="63" t="str"/>
      <x:c r="T29" s="63" t="str"/>
      <x:c r="U29" s="63" t="str">
        <x:v>P 待审批</x:v>
      </x:c>
      <x:c r="V29" s="63" t="str">
        <x:v>未确认</x:v>
      </x:c>
      <x:c r="W29" s="63" t="str"/>
      <x:c r="X29" s="63" t="str"/>
    </x:row>
    <x:row r="30">
      <x:c r="A30" s="65" t="str">
        <x:v>M-024</x:v>
      </x:c>
      <x:c r="B30" s="65" t="str">
        <x:v>N-024</x:v>
      </x:c>
      <x:c r="C30" s="65" t="str">
        <x:v>H 工作假设</x:v>
      </x:c>
      <x:c r="D30" s="63" t="str"/>
      <x:c r="E30" s="63" t="str"/>
      <x:c r="F30" s="63" t="str"/>
      <x:c r="G30" s="63" t="str"/>
      <x:c r="H30" s="63" t="str"/>
      <x:c r="I30" s="63" t="str"/>
      <x:c r="J30" s="63" t="str"/>
      <x:c r="K30" s="70" t="str">
        <x:f>IF(COUNT(H30:J30)&lt;3,"",H30*I30*J30)</x:f>
      </x:c>
      <x:c r="L30" s="70" t="str">
        <x:f>IF(K30="","",IF(K30&gt;=80,"P1",IF(K30&gt;=36,"P2","P3")))</x:f>
      </x:c>
      <x:c r="M30" s="63" t="str"/>
      <x:c r="N30" s="63" t="str"/>
      <x:c r="O30" s="63" t="str"/>
      <x:c r="P30" s="63" t="str"/>
      <x:c r="Q30" s="63" t="str"/>
      <x:c r="R30" s="63" t="str"/>
      <x:c r="S30" s="63" t="str"/>
      <x:c r="T30" s="63" t="str"/>
      <x:c r="U30" s="63" t="str">
        <x:v>P 待审批</x:v>
      </x:c>
      <x:c r="V30" s="63" t="str">
        <x:v>未确认</x:v>
      </x:c>
      <x:c r="W30" s="63" t="str"/>
      <x:c r="X30" s="63" t="str"/>
    </x:row>
    <x:row r="31">
      <x:c r="A31" s="65" t="str">
        <x:v>M-025</x:v>
      </x:c>
      <x:c r="B31" s="65" t="str">
        <x:v>N-025</x:v>
      </x:c>
      <x:c r="C31" s="65" t="str">
        <x:v>H 工作假设</x:v>
      </x:c>
      <x:c r="D31" s="63" t="str"/>
      <x:c r="E31" s="63" t="str"/>
      <x:c r="F31" s="63" t="str"/>
      <x:c r="G31" s="63" t="str"/>
      <x:c r="H31" s="63" t="str"/>
      <x:c r="I31" s="63" t="str"/>
      <x:c r="J31" s="63" t="str"/>
      <x:c r="K31" s="70" t="str">
        <x:f>IF(COUNT(H31:J31)&lt;3,"",H31*I31*J31)</x:f>
      </x:c>
      <x:c r="L31" s="70" t="str">
        <x:f>IF(K31="","",IF(K31&gt;=80,"P1",IF(K31&gt;=36,"P2","P3")))</x:f>
      </x:c>
      <x:c r="M31" s="63" t="str"/>
      <x:c r="N31" s="63" t="str"/>
      <x:c r="O31" s="63" t="str"/>
      <x:c r="P31" s="63" t="str"/>
      <x:c r="Q31" s="63" t="str"/>
      <x:c r="R31" s="63" t="str"/>
      <x:c r="S31" s="63" t="str"/>
      <x:c r="T31" s="63" t="str"/>
      <x:c r="U31" s="63" t="str">
        <x:v>P 待审批</x:v>
      </x:c>
      <x:c r="V31" s="63" t="str">
        <x:v>未确认</x:v>
      </x:c>
      <x:c r="W31" s="63" t="str"/>
      <x:c r="X31" s="63" t="str"/>
    </x:row>
    <x:row r="32">
      <x:c r="A32" s="65" t="str">
        <x:v>M-026</x:v>
      </x:c>
      <x:c r="B32" s="65" t="str">
        <x:v>N-026</x:v>
      </x:c>
      <x:c r="C32" s="65" t="str">
        <x:v>H 工作假设</x:v>
      </x:c>
      <x:c r="D32" s="63" t="str"/>
      <x:c r="E32" s="63" t="str"/>
      <x:c r="F32" s="63" t="str"/>
      <x:c r="G32" s="63" t="str"/>
      <x:c r="H32" s="63" t="str"/>
      <x:c r="I32" s="63" t="str"/>
      <x:c r="J32" s="63" t="str"/>
      <x:c r="K32" s="70" t="str">
        <x:f>IF(COUNT(H32:J32)&lt;3,"",H32*I32*J32)</x:f>
      </x:c>
      <x:c r="L32" s="70" t="str">
        <x:f>IF(K32="","",IF(K32&gt;=80,"P1",IF(K32&gt;=36,"P2","P3")))</x:f>
      </x:c>
      <x:c r="M32" s="63" t="str"/>
      <x:c r="N32" s="63" t="str"/>
      <x:c r="O32" s="63" t="str"/>
      <x:c r="P32" s="63" t="str"/>
      <x:c r="Q32" s="63" t="str"/>
      <x:c r="R32" s="63" t="str"/>
      <x:c r="S32" s="63" t="str"/>
      <x:c r="T32" s="63" t="str"/>
      <x:c r="U32" s="63" t="str">
        <x:v>P 待审批</x:v>
      </x:c>
      <x:c r="V32" s="63" t="str">
        <x:v>未确认</x:v>
      </x:c>
      <x:c r="W32" s="63" t="str"/>
      <x:c r="X32" s="63" t="str"/>
    </x:row>
    <x:row r="33">
      <x:c r="A33" s="65" t="str">
        <x:v>M-027</x:v>
      </x:c>
      <x:c r="B33" s="65" t="str">
        <x:v>N-027</x:v>
      </x:c>
      <x:c r="C33" s="65" t="str">
        <x:v>H 工作假设</x:v>
      </x:c>
      <x:c r="D33" s="63" t="str"/>
      <x:c r="E33" s="63" t="str"/>
      <x:c r="F33" s="63" t="str"/>
      <x:c r="G33" s="63" t="str"/>
      <x:c r="H33" s="63" t="str"/>
      <x:c r="I33" s="63" t="str"/>
      <x:c r="J33" s="63" t="str"/>
      <x:c r="K33" s="70" t="str">
        <x:f>IF(COUNT(H33:J33)&lt;3,"",H33*I33*J33)</x:f>
      </x:c>
      <x:c r="L33" s="70" t="str">
        <x:f>IF(K33="","",IF(K33&gt;=80,"P1",IF(K33&gt;=36,"P2","P3")))</x:f>
      </x:c>
      <x:c r="M33" s="63" t="str"/>
      <x:c r="N33" s="63" t="str"/>
      <x:c r="O33" s="63" t="str"/>
      <x:c r="P33" s="63" t="str"/>
      <x:c r="Q33" s="63" t="str"/>
      <x:c r="R33" s="63" t="str"/>
      <x:c r="S33" s="63" t="str"/>
      <x:c r="T33" s="63" t="str"/>
      <x:c r="U33" s="63" t="str">
        <x:v>P 待审批</x:v>
      </x:c>
      <x:c r="V33" s="63" t="str">
        <x:v>未确认</x:v>
      </x:c>
      <x:c r="W33" s="63" t="str"/>
      <x:c r="X33" s="63" t="str"/>
    </x:row>
    <x:row r="34">
      <x:c r="A34" s="65" t="str">
        <x:v>M-028</x:v>
      </x:c>
      <x:c r="B34" s="65" t="str">
        <x:v>N-028</x:v>
      </x:c>
      <x:c r="C34" s="65" t="str">
        <x:v>H 工作假设</x:v>
      </x:c>
      <x:c r="D34" s="63" t="str"/>
      <x:c r="E34" s="63" t="str"/>
      <x:c r="F34" s="63" t="str"/>
      <x:c r="G34" s="63" t="str"/>
      <x:c r="H34" s="63" t="str"/>
      <x:c r="I34" s="63" t="str"/>
      <x:c r="J34" s="63" t="str"/>
      <x:c r="K34" s="70" t="str">
        <x:f>IF(COUNT(H34:J34)&lt;3,"",H34*I34*J34)</x:f>
      </x:c>
      <x:c r="L34" s="70" t="str">
        <x:f>IF(K34="","",IF(K34&gt;=80,"P1",IF(K34&gt;=36,"P2","P3")))</x:f>
      </x:c>
      <x:c r="M34" s="63" t="str"/>
      <x:c r="N34" s="63" t="str"/>
      <x:c r="O34" s="63" t="str"/>
      <x:c r="P34" s="63" t="str"/>
      <x:c r="Q34" s="63" t="str"/>
      <x:c r="R34" s="63" t="str"/>
      <x:c r="S34" s="63" t="str"/>
      <x:c r="T34" s="63" t="str"/>
      <x:c r="U34" s="63" t="str">
        <x:v>P 待审批</x:v>
      </x:c>
      <x:c r="V34" s="63" t="str">
        <x:v>未确认</x:v>
      </x:c>
      <x:c r="W34" s="63" t="str"/>
      <x:c r="X34" s="63" t="str"/>
    </x:row>
    <x:row r="35">
      <x:c r="A35" s="65" t="str">
        <x:v>M-029</x:v>
      </x:c>
      <x:c r="B35" s="65" t="str">
        <x:v>N-029</x:v>
      </x:c>
      <x:c r="C35" s="65" t="str">
        <x:v>H 工作假设</x:v>
      </x:c>
      <x:c r="D35" s="63" t="str"/>
      <x:c r="E35" s="63" t="str"/>
      <x:c r="F35" s="63" t="str"/>
      <x:c r="G35" s="63" t="str"/>
      <x:c r="H35" s="63" t="str"/>
      <x:c r="I35" s="63" t="str"/>
      <x:c r="J35" s="63" t="str"/>
      <x:c r="K35" s="70" t="str">
        <x:f>IF(COUNT(H35:J35)&lt;3,"",H35*I35*J35)</x:f>
      </x:c>
      <x:c r="L35" s="70" t="str">
        <x:f>IF(K35="","",IF(K35&gt;=80,"P1",IF(K35&gt;=36,"P2","P3")))</x:f>
      </x:c>
      <x:c r="M35" s="63" t="str"/>
      <x:c r="N35" s="63" t="str"/>
      <x:c r="O35" s="63" t="str"/>
      <x:c r="P35" s="63" t="str"/>
      <x:c r="Q35" s="63" t="str"/>
      <x:c r="R35" s="63" t="str"/>
      <x:c r="S35" s="63" t="str"/>
      <x:c r="T35" s="63" t="str"/>
      <x:c r="U35" s="63" t="str">
        <x:v>P 待审批</x:v>
      </x:c>
      <x:c r="V35" s="63" t="str">
        <x:v>未确认</x:v>
      </x:c>
      <x:c r="W35" s="63" t="str"/>
      <x:c r="X35" s="63" t="str"/>
    </x:row>
    <x:row r="36">
      <x:c r="A36" s="65" t="str">
        <x:v>M-030</x:v>
      </x:c>
      <x:c r="B36" s="65" t="str">
        <x:v>N-030</x:v>
      </x:c>
      <x:c r="C36" s="65" t="str">
        <x:v>H 工作假设</x:v>
      </x:c>
      <x:c r="D36" s="63" t="str"/>
      <x:c r="E36" s="63" t="str"/>
      <x:c r="F36" s="63" t="str"/>
      <x:c r="G36" s="63" t="str"/>
      <x:c r="H36" s="63" t="str"/>
      <x:c r="I36" s="63" t="str"/>
      <x:c r="J36" s="63" t="str"/>
      <x:c r="K36" s="70" t="str">
        <x:f>IF(COUNT(H36:J36)&lt;3,"",H36*I36*J36)</x:f>
      </x:c>
      <x:c r="L36" s="70" t="str">
        <x:f>IF(K36="","",IF(K36&gt;=80,"P1",IF(K36&gt;=36,"P2","P3")))</x:f>
      </x:c>
      <x:c r="M36" s="63" t="str"/>
      <x:c r="N36" s="63" t="str"/>
      <x:c r="O36" s="63" t="str"/>
      <x:c r="P36" s="63" t="str"/>
      <x:c r="Q36" s="63" t="str"/>
      <x:c r="R36" s="63" t="str"/>
      <x:c r="S36" s="63" t="str"/>
      <x:c r="T36" s="63" t="str"/>
      <x:c r="U36" s="63" t="str">
        <x:v>P 待审批</x:v>
      </x:c>
      <x:c r="V36" s="63" t="str">
        <x:v>未确认</x:v>
      </x:c>
      <x:c r="W36" s="63" t="str"/>
      <x:c r="X36" s="63" t="str"/>
    </x:row>
  </x:sheetData>
  <x:mergeCells>
    <x:mergeCell ref="A1:X1"/>
    <x:mergeCell ref="A2:X2"/>
    <x:mergeCell ref="I3:X3"/>
    <x:mergeCell ref="B4:C4"/>
    <x:mergeCell ref="D4:E4"/>
    <x:mergeCell ref="F4:G4"/>
    <x:mergeCell ref="H4:X4"/>
  </x:mergeCells>
  <x:conditionalFormatting sqref="K7:K36">
    <x:cfRule type="colorScale" priority="1">
      <x:colorScale>
        <x:cfvo type="min"/>
        <x:cfvo type="percentile" val="50"/>
        <x:cfvo type="max"/>
        <x:color rgb="FFFDE8E7"/>
        <x:color rgb="FFFFF4CE"/>
        <x:color rgb="FFE8F3EC"/>
      </x:colorScale>
    </x:cfRule>
  </x:conditionalFormatting>
  <x:conditionalFormatting sqref="L7:L36">
    <x:cfRule type="containsText" dxfId="0" priority="2" operator="containsText" text="P1"/>
  </x:conditionalFormatting>
  <x:dataValidations count="6">
    <x:dataValidation type="list" sqref="C7:C36">
      <x:formula1>"F 公开事实,C 客户确认,B 银行核验,H 工作假设"</x:formula1>
    </x:dataValidation>
    <x:dataValidation type="list" sqref="G7:G36">
      <x:formula1>"P1,P2,P3"</x:formula1>
    </x:dataValidation>
    <x:dataValidation type="whole" operator="between" sqref="H7:J36">
      <x:formula1>1</x:formula1>
      <x:formula2>5</x:formula2>
    </x:dataValidation>
    <x:dataValidation type="list" sqref="U7:U36">
      <x:formula1>"P 待审批,A 已批准,不适用,退回修改"</x:formula1>
    </x:dataValidation>
    <x:dataValidation type="list" sqref="V7:V36">
      <x:formula1>"未确认,认可,调整,拒绝"</x:formula1>
    </x:dataValidation>
    <x:dataValidation type="list" sqref="W7:W36">
      <x:formula1>"0—30天,31—90天,91—180天,待定"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24" hidden="0" customWidth="1"/>
    <x:col min="8" max="8" width="28" hidden="0" customWidth="1"/>
    <x:col min="9" max="9" width="24" hidden="0" customWidth="1"/>
    <x:col min="10" max="10" width="20" hidden="0" customWidth="1"/>
    <x:col min="11" max="11" width="24" hidden="0" customWidth="1"/>
    <x:col min="12" max="12" width="16" hidden="0" customWidth="1"/>
    <x:col min="13" max="13" width="18" hidden="0" customWidth="1"/>
    <x:col min="14" max="14" width="22" hidden="0" customWidth="1"/>
    <x:col min="15" max="15" width="22" hidden="0" customWidth="1"/>
    <x:col min="16" max="16" width="16" hidden="0" customWidth="1"/>
    <x:col min="17" max="17" width="16" hidden="0" customWidth="1"/>
    <x:col min="18" max="18" width="22" hidden="0" customWidth="1"/>
  </x:cols>
  <x:sheetData>
    <x:row r="1" ht="34" customHeight="1">
      <x:c r="A1" s="5" t="str">
        <x:v>专家协同单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0" customHeight="1">
      <x:c r="A2" s="9" t="str">
        <x:v>一个协同单只定义一个清晰问题或交付包。必须写明用途、范围外事项、截止日、资料权限、输出复核和统一对客口径。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>
      <x:c r="A3" s="74" t="str">
        <x:v>客户ID</x:v>
      </x:c>
      <x:c r="B3" s="70" t="str">
        <x:f>'客户信息采集'!B4</x:f>
        <x:v>〔填写〕</x:v>
      </x:c>
      <x:c r="C3" s="74" t="str">
        <x:v>客户名称</x:v>
      </x:c>
      <x:c r="D3" s="70" t="str">
        <x:f>'客户信息采集'!D4</x:f>
        <x:v>〔填写〕</x:v>
      </x:c>
      <x:c r="E3" s="74" t="str">
        <x:v>牵头客户经理</x:v>
      </x:c>
      <x:c r="F3" s="63" t="str">
        <x:v>〔填写〕</x:v>
      </x:c>
      <x:c r="G3" s="74" t="str">
        <x:v>基准日</x:v>
      </x:c>
      <x:c r="H3" s="64" t="n">
        <x:v>46253</x:v>
      </x:c>
      <x:c r="I3" s="74" t="str">
        <x:v>协同规则</x:v>
      </x:c>
      <x:c r="J3" s="74" t="str">
        <x:v>对客可用前必须完成专家复核和必要审批</x:v>
      </x:c>
      <x:c r="K3" s="74" t="str"/>
      <x:c r="L3" s="74" t="str"/>
      <x:c r="M3" s="74" t="str"/>
      <x:c r="N3" s="74" t="str"/>
      <x:c r="O3" s="74" t="str"/>
      <x:c r="P3" s="74" t="str"/>
      <x:c r="Q3" s="74" t="str"/>
      <x:c r="R3" s="74" t="str"/>
    </x:row>
    <x:row r="4">
      <x:c r="A4" s="74" t="str">
        <x:v>关联方式</x:v>
      </x:c>
      <x:c r="B4" s="74" t="str">
        <x:v>需求ID/映射ID</x:v>
      </x:c>
      <x:c r="C4" s="74" t="str"/>
      <x:c r="D4" s="74" t="str">
        <x:v>专家领域</x:v>
      </x:c>
      <x:c r="E4" s="74" t="str">
        <x:v>行业/产品/风险/财资/跨境/投行/法务/数字化/ESG</x:v>
      </x:c>
      <x:c r="F4" s="74" t="str"/>
      <x:c r="G4" s="74" t="str"/>
      <x:c r="H4" s="74" t="str"/>
      <x:c r="I4" s="74" t="str"/>
      <x:c r="J4" s="74" t="str"/>
      <x:c r="K4" s="74" t="str"/>
      <x:c r="L4" s="74" t="str"/>
      <x:c r="M4" s="74" t="str"/>
      <x:c r="N4" s="74" t="str"/>
      <x:c r="O4" s="74" t="str"/>
      <x:c r="P4" s="74" t="str"/>
      <x:c r="Q4" s="74" t="str"/>
      <x:c r="R4" s="74" t="str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</x:row>
    <x:row r="6" ht="30" customHeight="1">
      <x:c r="A6" s="17" t="str">
        <x:v>协同单号</x:v>
      </x:c>
      <x:c r="B6" s="17" t="str">
        <x:v>需求ID</x:v>
      </x:c>
      <x:c r="C6" s="17" t="str">
        <x:v>映射ID</x:v>
      </x:c>
      <x:c r="D6" s="17" t="str">
        <x:v>提出日期</x:v>
      </x:c>
      <x:c r="E6" s="17" t="str">
        <x:v>截止日</x:v>
      </x:c>
      <x:c r="F6" s="17" t="str">
        <x:v>紧急度</x:v>
      </x:c>
      <x:c r="G6" s="17" t="str">
        <x:v>专家领域</x:v>
      </x:c>
      <x:c r="H6" s="17" t="str">
        <x:v>待解决问题</x:v>
      </x:c>
      <x:c r="I6" s="17" t="str">
        <x:v>期望交付物</x:v>
      </x:c>
      <x:c r="J6" s="17" t="str">
        <x:v>使用场景</x:v>
      </x:c>
      <x:c r="K6" s="17" t="str">
        <x:v>资料/数据</x:v>
      </x:c>
      <x:c r="L6" s="17" t="str">
        <x:v>状态</x:v>
      </x:c>
      <x:c r="M6" s="17" t="str">
        <x:v>牵头专家</x:v>
      </x:c>
      <x:c r="N6" s="17" t="str">
        <x:v>专家结论/建议</x:v>
      </x:c>
      <x:c r="O6" s="17" t="str">
        <x:v>条件/风险/待审批</x:v>
      </x:c>
      <x:c r="P6" s="17" t="str">
        <x:v>客户可见性</x:v>
      </x:c>
      <x:c r="Q6" s="17" t="str">
        <x:v>复核状态</x:v>
      </x:c>
      <x:c r="R6" s="17" t="str">
        <x:v>逾期/下一步</x:v>
      </x:c>
    </x:row>
    <x:row r="7">
      <x:c r="A7" s="65" t="str">
        <x:v>EX-001</x:v>
      </x:c>
      <x:c r="B7" s="65" t="str"/>
      <x:c r="C7" s="65" t="str"/>
      <x:c r="D7" s="64"/>
      <x:c r="E7" s="64"/>
      <x:c r="F7" s="63" t="str">
        <x:v>普通</x:v>
      </x:c>
      <x:c r="G7" s="63" t="str"/>
      <x:c r="H7" s="63" t="str"/>
      <x:c r="I7" s="63" t="str"/>
      <x:c r="J7" s="63" t="str"/>
      <x:c r="K7" s="63" t="str"/>
      <x:c r="L7" s="63" t="str">
        <x:v>待接单</x:v>
      </x:c>
      <x:c r="M7" s="63" t="str"/>
      <x:c r="N7" s="63" t="str"/>
      <x:c r="O7" s="63" t="str"/>
      <x:c r="P7" s="63" t="str">
        <x:v>仅内部</x:v>
      </x:c>
      <x:c r="Q7" s="63" t="str">
        <x:v>未复核</x:v>
      </x:c>
      <x:c r="R7" s="70" t="str">
        <x:f>IF(OR(L7="已完成",E7=""),"",IF(E7&lt;TODAY(),"逾期","正常"))</x:f>
      </x:c>
    </x:row>
    <x:row r="8">
      <x:c r="A8" s="65" t="str">
        <x:v>EX-002</x:v>
      </x:c>
      <x:c r="B8" s="65" t="str"/>
      <x:c r="C8" s="65" t="str"/>
      <x:c r="D8" s="64"/>
      <x:c r="E8" s="64"/>
      <x:c r="F8" s="63" t="str">
        <x:v>普通</x:v>
      </x:c>
      <x:c r="G8" s="63" t="str"/>
      <x:c r="H8" s="63" t="str"/>
      <x:c r="I8" s="63" t="str"/>
      <x:c r="J8" s="63" t="str"/>
      <x:c r="K8" s="63" t="str"/>
      <x:c r="L8" s="63" t="str">
        <x:v>待接单</x:v>
      </x:c>
      <x:c r="M8" s="63" t="str"/>
      <x:c r="N8" s="63" t="str"/>
      <x:c r="O8" s="63" t="str"/>
      <x:c r="P8" s="63" t="str">
        <x:v>仅内部</x:v>
      </x:c>
      <x:c r="Q8" s="63" t="str">
        <x:v>未复核</x:v>
      </x:c>
      <x:c r="R8" s="70" t="str">
        <x:f>IF(OR(L8="已完成",E8=""),"",IF(E8&lt;TODAY(),"逾期","正常"))</x:f>
      </x:c>
    </x:row>
    <x:row r="9">
      <x:c r="A9" s="65" t="str">
        <x:v>EX-003</x:v>
      </x:c>
      <x:c r="B9" s="65" t="str"/>
      <x:c r="C9" s="65" t="str"/>
      <x:c r="D9" s="64"/>
      <x:c r="E9" s="64"/>
      <x:c r="F9" s="63" t="str">
        <x:v>普通</x:v>
      </x:c>
      <x:c r="G9" s="63" t="str"/>
      <x:c r="H9" s="63" t="str"/>
      <x:c r="I9" s="63" t="str"/>
      <x:c r="J9" s="63" t="str"/>
      <x:c r="K9" s="63" t="str"/>
      <x:c r="L9" s="63" t="str">
        <x:v>待接单</x:v>
      </x:c>
      <x:c r="M9" s="63" t="str"/>
      <x:c r="N9" s="63" t="str"/>
      <x:c r="O9" s="63" t="str"/>
      <x:c r="P9" s="63" t="str">
        <x:v>仅内部</x:v>
      </x:c>
      <x:c r="Q9" s="63" t="str">
        <x:v>未复核</x:v>
      </x:c>
      <x:c r="R9" s="70" t="str">
        <x:f>IF(OR(L9="已完成",E9=""),"",IF(E9&lt;TODAY(),"逾期","正常"))</x:f>
      </x:c>
    </x:row>
    <x:row r="10">
      <x:c r="A10" s="65" t="str">
        <x:v>EX-004</x:v>
      </x:c>
      <x:c r="B10" s="65" t="str"/>
      <x:c r="C10" s="65" t="str"/>
      <x:c r="D10" s="64"/>
      <x:c r="E10" s="64"/>
      <x:c r="F10" s="63" t="str">
        <x:v>普通</x:v>
      </x:c>
      <x:c r="G10" s="63" t="str"/>
      <x:c r="H10" s="63" t="str"/>
      <x:c r="I10" s="63" t="str"/>
      <x:c r="J10" s="63" t="str"/>
      <x:c r="K10" s="63" t="str"/>
      <x:c r="L10" s="63" t="str">
        <x:v>待接单</x:v>
      </x:c>
      <x:c r="M10" s="63" t="str"/>
      <x:c r="N10" s="63" t="str"/>
      <x:c r="O10" s="63" t="str"/>
      <x:c r="P10" s="63" t="str">
        <x:v>仅内部</x:v>
      </x:c>
      <x:c r="Q10" s="63" t="str">
        <x:v>未复核</x:v>
      </x:c>
      <x:c r="R10" s="70" t="str">
        <x:f>IF(OR(L10="已完成",E10=""),"",IF(E10&lt;TODAY(),"逾期","正常"))</x:f>
      </x:c>
    </x:row>
    <x:row r="11">
      <x:c r="A11" s="65" t="str">
        <x:v>EX-005</x:v>
      </x:c>
      <x:c r="B11" s="65" t="str"/>
      <x:c r="C11" s="65" t="str"/>
      <x:c r="D11" s="64"/>
      <x:c r="E11" s="64"/>
      <x:c r="F11" s="63" t="str">
        <x:v>普通</x:v>
      </x:c>
      <x:c r="G11" s="63" t="str"/>
      <x:c r="H11" s="63" t="str"/>
      <x:c r="I11" s="63" t="str"/>
      <x:c r="J11" s="63" t="str"/>
      <x:c r="K11" s="63" t="str"/>
      <x:c r="L11" s="63" t="str">
        <x:v>待接单</x:v>
      </x:c>
      <x:c r="M11" s="63" t="str"/>
      <x:c r="N11" s="63" t="str"/>
      <x:c r="O11" s="63" t="str"/>
      <x:c r="P11" s="63" t="str">
        <x:v>仅内部</x:v>
      </x:c>
      <x:c r="Q11" s="63" t="str">
        <x:v>未复核</x:v>
      </x:c>
      <x:c r="R11" s="70" t="str">
        <x:f>IF(OR(L11="已完成",E11=""),"",IF(E11&lt;TODAY(),"逾期","正常"))</x:f>
      </x:c>
    </x:row>
    <x:row r="12">
      <x:c r="A12" s="65" t="str">
        <x:v>EX-006</x:v>
      </x:c>
      <x:c r="B12" s="65" t="str"/>
      <x:c r="C12" s="65" t="str"/>
      <x:c r="D12" s="64"/>
      <x:c r="E12" s="64"/>
      <x:c r="F12" s="63" t="str">
        <x:v>普通</x:v>
      </x:c>
      <x:c r="G12" s="63" t="str"/>
      <x:c r="H12" s="63" t="str"/>
      <x:c r="I12" s="63" t="str"/>
      <x:c r="J12" s="63" t="str"/>
      <x:c r="K12" s="63" t="str"/>
      <x:c r="L12" s="63" t="str">
        <x:v>待接单</x:v>
      </x:c>
      <x:c r="M12" s="63" t="str"/>
      <x:c r="N12" s="63" t="str"/>
      <x:c r="O12" s="63" t="str"/>
      <x:c r="P12" s="63" t="str">
        <x:v>仅内部</x:v>
      </x:c>
      <x:c r="Q12" s="63" t="str">
        <x:v>未复核</x:v>
      </x:c>
      <x:c r="R12" s="70" t="str">
        <x:f>IF(OR(L12="已完成",E12=""),"",IF(E12&lt;TODAY(),"逾期","正常"))</x:f>
      </x:c>
    </x:row>
    <x:row r="13">
      <x:c r="A13" s="65" t="str">
        <x:v>EX-007</x:v>
      </x:c>
      <x:c r="B13" s="65" t="str"/>
      <x:c r="C13" s="65" t="str"/>
      <x:c r="D13" s="64"/>
      <x:c r="E13" s="64"/>
      <x:c r="F13" s="63" t="str">
        <x:v>普通</x:v>
      </x:c>
      <x:c r="G13" s="63" t="str"/>
      <x:c r="H13" s="63" t="str"/>
      <x:c r="I13" s="63" t="str"/>
      <x:c r="J13" s="63" t="str"/>
      <x:c r="K13" s="63" t="str"/>
      <x:c r="L13" s="63" t="str">
        <x:v>待接单</x:v>
      </x:c>
      <x:c r="M13" s="63" t="str"/>
      <x:c r="N13" s="63" t="str"/>
      <x:c r="O13" s="63" t="str"/>
      <x:c r="P13" s="63" t="str">
        <x:v>仅内部</x:v>
      </x:c>
      <x:c r="Q13" s="63" t="str">
        <x:v>未复核</x:v>
      </x:c>
      <x:c r="R13" s="70" t="str">
        <x:f>IF(OR(L13="已完成",E13=""),"",IF(E13&lt;TODAY(),"逾期","正常"))</x:f>
      </x:c>
    </x:row>
    <x:row r="14">
      <x:c r="A14" s="65" t="str">
        <x:v>EX-008</x:v>
      </x:c>
      <x:c r="B14" s="65" t="str"/>
      <x:c r="C14" s="65" t="str"/>
      <x:c r="D14" s="64"/>
      <x:c r="E14" s="64"/>
      <x:c r="F14" s="63" t="str">
        <x:v>普通</x:v>
      </x:c>
      <x:c r="G14" s="63" t="str"/>
      <x:c r="H14" s="63" t="str"/>
      <x:c r="I14" s="63" t="str"/>
      <x:c r="J14" s="63" t="str"/>
      <x:c r="K14" s="63" t="str"/>
      <x:c r="L14" s="63" t="str">
        <x:v>待接单</x:v>
      </x:c>
      <x:c r="M14" s="63" t="str"/>
      <x:c r="N14" s="63" t="str"/>
      <x:c r="O14" s="63" t="str"/>
      <x:c r="P14" s="63" t="str">
        <x:v>仅内部</x:v>
      </x:c>
      <x:c r="Q14" s="63" t="str">
        <x:v>未复核</x:v>
      </x:c>
      <x:c r="R14" s="70" t="str">
        <x:f>IF(OR(L14="已完成",E14=""),"",IF(E14&lt;TODAY(),"逾期","正常"))</x:f>
      </x:c>
    </x:row>
    <x:row r="15">
      <x:c r="A15" s="65" t="str">
        <x:v>EX-009</x:v>
      </x:c>
      <x:c r="B15" s="65" t="str"/>
      <x:c r="C15" s="65" t="str"/>
      <x:c r="D15" s="64"/>
      <x:c r="E15" s="64"/>
      <x:c r="F15" s="63" t="str">
        <x:v>普通</x:v>
      </x:c>
      <x:c r="G15" s="63" t="str"/>
      <x:c r="H15" s="63" t="str"/>
      <x:c r="I15" s="63" t="str"/>
      <x:c r="J15" s="63" t="str"/>
      <x:c r="K15" s="63" t="str"/>
      <x:c r="L15" s="63" t="str">
        <x:v>待接单</x:v>
      </x:c>
      <x:c r="M15" s="63" t="str"/>
      <x:c r="N15" s="63" t="str"/>
      <x:c r="O15" s="63" t="str"/>
      <x:c r="P15" s="63" t="str">
        <x:v>仅内部</x:v>
      </x:c>
      <x:c r="Q15" s="63" t="str">
        <x:v>未复核</x:v>
      </x:c>
      <x:c r="R15" s="70" t="str">
        <x:f>IF(OR(L15="已完成",E15=""),"",IF(E15&lt;TODAY(),"逾期","正常"))</x:f>
      </x:c>
    </x:row>
    <x:row r="16">
      <x:c r="A16" s="65" t="str">
        <x:v>EX-010</x:v>
      </x:c>
      <x:c r="B16" s="65" t="str"/>
      <x:c r="C16" s="65" t="str"/>
      <x:c r="D16" s="64"/>
      <x:c r="E16" s="64"/>
      <x:c r="F16" s="63" t="str">
        <x:v>普通</x:v>
      </x:c>
      <x:c r="G16" s="63" t="str"/>
      <x:c r="H16" s="63" t="str"/>
      <x:c r="I16" s="63" t="str"/>
      <x:c r="J16" s="63" t="str"/>
      <x:c r="K16" s="63" t="str"/>
      <x:c r="L16" s="63" t="str">
        <x:v>待接单</x:v>
      </x:c>
      <x:c r="M16" s="63" t="str"/>
      <x:c r="N16" s="63" t="str"/>
      <x:c r="O16" s="63" t="str"/>
      <x:c r="P16" s="63" t="str">
        <x:v>仅内部</x:v>
      </x:c>
      <x:c r="Q16" s="63" t="str">
        <x:v>未复核</x:v>
      </x:c>
      <x:c r="R16" s="70" t="str">
        <x:f>IF(OR(L16="已完成",E16=""),"",IF(E16&lt;TODAY(),"逾期","正常"))</x:f>
      </x:c>
    </x:row>
    <x:row r="17">
      <x:c r="A17" s="65" t="str">
        <x:v>EX-011</x:v>
      </x:c>
      <x:c r="B17" s="65" t="str"/>
      <x:c r="C17" s="65" t="str"/>
      <x:c r="D17" s="64"/>
      <x:c r="E17" s="64"/>
      <x:c r="F17" s="63" t="str">
        <x:v>普通</x:v>
      </x:c>
      <x:c r="G17" s="63" t="str"/>
      <x:c r="H17" s="63" t="str"/>
      <x:c r="I17" s="63" t="str"/>
      <x:c r="J17" s="63" t="str"/>
      <x:c r="K17" s="63" t="str"/>
      <x:c r="L17" s="63" t="str">
        <x:v>待接单</x:v>
      </x:c>
      <x:c r="M17" s="63" t="str"/>
      <x:c r="N17" s="63" t="str"/>
      <x:c r="O17" s="63" t="str"/>
      <x:c r="P17" s="63" t="str">
        <x:v>仅内部</x:v>
      </x:c>
      <x:c r="Q17" s="63" t="str">
        <x:v>未复核</x:v>
      </x:c>
      <x:c r="R17" s="70" t="str">
        <x:f>IF(OR(L17="已完成",E17=""),"",IF(E17&lt;TODAY(),"逾期","正常"))</x:f>
      </x:c>
    </x:row>
    <x:row r="18">
      <x:c r="A18" s="65" t="str">
        <x:v>EX-012</x:v>
      </x:c>
      <x:c r="B18" s="65" t="str"/>
      <x:c r="C18" s="65" t="str"/>
      <x:c r="D18" s="64"/>
      <x:c r="E18" s="64"/>
      <x:c r="F18" s="63" t="str">
        <x:v>普通</x:v>
      </x:c>
      <x:c r="G18" s="63" t="str"/>
      <x:c r="H18" s="63" t="str"/>
      <x:c r="I18" s="63" t="str"/>
      <x:c r="J18" s="63" t="str"/>
      <x:c r="K18" s="63" t="str"/>
      <x:c r="L18" s="63" t="str">
        <x:v>待接单</x:v>
      </x:c>
      <x:c r="M18" s="63" t="str"/>
      <x:c r="N18" s="63" t="str"/>
      <x:c r="O18" s="63" t="str"/>
      <x:c r="P18" s="63" t="str">
        <x:v>仅内部</x:v>
      </x:c>
      <x:c r="Q18" s="63" t="str">
        <x:v>未复核</x:v>
      </x:c>
      <x:c r="R18" s="70" t="str">
        <x:f>IF(OR(L18="已完成",E18=""),"",IF(E18&lt;TODAY(),"逾期","正常"))</x:f>
      </x:c>
    </x:row>
    <x:row r="19">
      <x:c r="A19" s="65" t="str">
        <x:v>EX-013</x:v>
      </x:c>
      <x:c r="B19" s="65" t="str"/>
      <x:c r="C19" s="65" t="str"/>
      <x:c r="D19" s="64"/>
      <x:c r="E19" s="64"/>
      <x:c r="F19" s="63" t="str">
        <x:v>普通</x:v>
      </x:c>
      <x:c r="G19" s="63" t="str"/>
      <x:c r="H19" s="63" t="str"/>
      <x:c r="I19" s="63" t="str"/>
      <x:c r="J19" s="63" t="str"/>
      <x:c r="K19" s="63" t="str"/>
      <x:c r="L19" s="63" t="str">
        <x:v>待接单</x:v>
      </x:c>
      <x:c r="M19" s="63" t="str"/>
      <x:c r="N19" s="63" t="str"/>
      <x:c r="O19" s="63" t="str"/>
      <x:c r="P19" s="63" t="str">
        <x:v>仅内部</x:v>
      </x:c>
      <x:c r="Q19" s="63" t="str">
        <x:v>未复核</x:v>
      </x:c>
      <x:c r="R19" s="70" t="str">
        <x:f>IF(OR(L19="已完成",E19=""),"",IF(E19&lt;TODAY(),"逾期","正常"))</x:f>
      </x:c>
    </x:row>
    <x:row r="20">
      <x:c r="A20" s="65" t="str">
        <x:v>EX-014</x:v>
      </x:c>
      <x:c r="B20" s="65" t="str"/>
      <x:c r="C20" s="65" t="str"/>
      <x:c r="D20" s="64"/>
      <x:c r="E20" s="64"/>
      <x:c r="F20" s="63" t="str">
        <x:v>普通</x:v>
      </x:c>
      <x:c r="G20" s="63" t="str"/>
      <x:c r="H20" s="63" t="str"/>
      <x:c r="I20" s="63" t="str"/>
      <x:c r="J20" s="63" t="str"/>
      <x:c r="K20" s="63" t="str"/>
      <x:c r="L20" s="63" t="str">
        <x:v>待接单</x:v>
      </x:c>
      <x:c r="M20" s="63" t="str"/>
      <x:c r="N20" s="63" t="str"/>
      <x:c r="O20" s="63" t="str"/>
      <x:c r="P20" s="63" t="str">
        <x:v>仅内部</x:v>
      </x:c>
      <x:c r="Q20" s="63" t="str">
        <x:v>未复核</x:v>
      </x:c>
      <x:c r="R20" s="70" t="str">
        <x:f>IF(OR(L20="已完成",E20=""),"",IF(E20&lt;TODAY(),"逾期","正常"))</x:f>
      </x:c>
    </x:row>
    <x:row r="21">
      <x:c r="A21" s="65" t="str">
        <x:v>EX-015</x:v>
      </x:c>
      <x:c r="B21" s="65" t="str"/>
      <x:c r="C21" s="65" t="str"/>
      <x:c r="D21" s="64"/>
      <x:c r="E21" s="64"/>
      <x:c r="F21" s="63" t="str">
        <x:v>普通</x:v>
      </x:c>
      <x:c r="G21" s="63" t="str"/>
      <x:c r="H21" s="63" t="str"/>
      <x:c r="I21" s="63" t="str"/>
      <x:c r="J21" s="63" t="str"/>
      <x:c r="K21" s="63" t="str"/>
      <x:c r="L21" s="63" t="str">
        <x:v>待接单</x:v>
      </x:c>
      <x:c r="M21" s="63" t="str"/>
      <x:c r="N21" s="63" t="str"/>
      <x:c r="O21" s="63" t="str"/>
      <x:c r="P21" s="63" t="str">
        <x:v>仅内部</x:v>
      </x:c>
      <x:c r="Q21" s="63" t="str">
        <x:v>未复核</x:v>
      </x:c>
      <x:c r="R21" s="70" t="str">
        <x:f>IF(OR(L21="已完成",E21=""),"",IF(E21&lt;TODAY(),"逾期","正常"))</x:f>
      </x:c>
    </x:row>
    <x:row r="22">
      <x:c r="A22" s="65" t="str">
        <x:v>EX-016</x:v>
      </x:c>
      <x:c r="B22" s="65" t="str"/>
      <x:c r="C22" s="65" t="str"/>
      <x:c r="D22" s="64"/>
      <x:c r="E22" s="64"/>
      <x:c r="F22" s="63" t="str">
        <x:v>普通</x:v>
      </x:c>
      <x:c r="G22" s="63" t="str"/>
      <x:c r="H22" s="63" t="str"/>
      <x:c r="I22" s="63" t="str"/>
      <x:c r="J22" s="63" t="str"/>
      <x:c r="K22" s="63" t="str"/>
      <x:c r="L22" s="63" t="str">
        <x:v>待接单</x:v>
      </x:c>
      <x:c r="M22" s="63" t="str"/>
      <x:c r="N22" s="63" t="str"/>
      <x:c r="O22" s="63" t="str"/>
      <x:c r="P22" s="63" t="str">
        <x:v>仅内部</x:v>
      </x:c>
      <x:c r="Q22" s="63" t="str">
        <x:v>未复核</x:v>
      </x:c>
      <x:c r="R22" s="70" t="str">
        <x:f>IF(OR(L22="已完成",E22=""),"",IF(E22&lt;TODAY(),"逾期","正常"))</x:f>
      </x:c>
    </x:row>
    <x:row r="23">
      <x:c r="A23" s="65" t="str">
        <x:v>EX-017</x:v>
      </x:c>
      <x:c r="B23" s="65" t="str"/>
      <x:c r="C23" s="65" t="str"/>
      <x:c r="D23" s="64"/>
      <x:c r="E23" s="64"/>
      <x:c r="F23" s="63" t="str">
        <x:v>普通</x:v>
      </x:c>
      <x:c r="G23" s="63" t="str"/>
      <x:c r="H23" s="63" t="str"/>
      <x:c r="I23" s="63" t="str"/>
      <x:c r="J23" s="63" t="str"/>
      <x:c r="K23" s="63" t="str"/>
      <x:c r="L23" s="63" t="str">
        <x:v>待接单</x:v>
      </x:c>
      <x:c r="M23" s="63" t="str"/>
      <x:c r="N23" s="63" t="str"/>
      <x:c r="O23" s="63" t="str"/>
      <x:c r="P23" s="63" t="str">
        <x:v>仅内部</x:v>
      </x:c>
      <x:c r="Q23" s="63" t="str">
        <x:v>未复核</x:v>
      </x:c>
      <x:c r="R23" s="70" t="str">
        <x:f>IF(OR(L23="已完成",E23=""),"",IF(E23&lt;TODAY(),"逾期","正常"))</x:f>
      </x:c>
    </x:row>
    <x:row r="24">
      <x:c r="A24" s="65" t="str">
        <x:v>EX-018</x:v>
      </x:c>
      <x:c r="B24" s="65" t="str"/>
      <x:c r="C24" s="65" t="str"/>
      <x:c r="D24" s="64"/>
      <x:c r="E24" s="64"/>
      <x:c r="F24" s="63" t="str">
        <x:v>普通</x:v>
      </x:c>
      <x:c r="G24" s="63" t="str"/>
      <x:c r="H24" s="63" t="str"/>
      <x:c r="I24" s="63" t="str"/>
      <x:c r="J24" s="63" t="str"/>
      <x:c r="K24" s="63" t="str"/>
      <x:c r="L24" s="63" t="str">
        <x:v>待接单</x:v>
      </x:c>
      <x:c r="M24" s="63" t="str"/>
      <x:c r="N24" s="63" t="str"/>
      <x:c r="O24" s="63" t="str"/>
      <x:c r="P24" s="63" t="str">
        <x:v>仅内部</x:v>
      </x:c>
      <x:c r="Q24" s="63" t="str">
        <x:v>未复核</x:v>
      </x:c>
      <x:c r="R24" s="70" t="str">
        <x:f>IF(OR(L24="已完成",E24=""),"",IF(E24&lt;TODAY(),"逾期","正常"))</x:f>
      </x:c>
    </x:row>
    <x:row r="25">
      <x:c r="A25" s="65" t="str">
        <x:v>EX-019</x:v>
      </x:c>
      <x:c r="B25" s="65" t="str"/>
      <x:c r="C25" s="65" t="str"/>
      <x:c r="D25" s="64"/>
      <x:c r="E25" s="64"/>
      <x:c r="F25" s="63" t="str">
        <x:v>普通</x:v>
      </x:c>
      <x:c r="G25" s="63" t="str"/>
      <x:c r="H25" s="63" t="str"/>
      <x:c r="I25" s="63" t="str"/>
      <x:c r="J25" s="63" t="str"/>
      <x:c r="K25" s="63" t="str"/>
      <x:c r="L25" s="63" t="str">
        <x:v>待接单</x:v>
      </x:c>
      <x:c r="M25" s="63" t="str"/>
      <x:c r="N25" s="63" t="str"/>
      <x:c r="O25" s="63" t="str"/>
      <x:c r="P25" s="63" t="str">
        <x:v>仅内部</x:v>
      </x:c>
      <x:c r="Q25" s="63" t="str">
        <x:v>未复核</x:v>
      </x:c>
      <x:c r="R25" s="70" t="str">
        <x:f>IF(OR(L25="已完成",E25=""),"",IF(E25&lt;TODAY(),"逾期","正常"))</x:f>
      </x:c>
    </x:row>
    <x:row r="26">
      <x:c r="A26" s="65" t="str">
        <x:v>EX-020</x:v>
      </x:c>
      <x:c r="B26" s="65" t="str"/>
      <x:c r="C26" s="65" t="str"/>
      <x:c r="D26" s="64"/>
      <x:c r="E26" s="64"/>
      <x:c r="F26" s="63" t="str">
        <x:v>普通</x:v>
      </x:c>
      <x:c r="G26" s="63" t="str"/>
      <x:c r="H26" s="63" t="str"/>
      <x:c r="I26" s="63" t="str"/>
      <x:c r="J26" s="63" t="str"/>
      <x:c r="K26" s="63" t="str"/>
      <x:c r="L26" s="63" t="str">
        <x:v>待接单</x:v>
      </x:c>
      <x:c r="M26" s="63" t="str"/>
      <x:c r="N26" s="63" t="str"/>
      <x:c r="O26" s="63" t="str"/>
      <x:c r="P26" s="63" t="str">
        <x:v>仅内部</x:v>
      </x:c>
      <x:c r="Q26" s="63" t="str">
        <x:v>未复核</x:v>
      </x:c>
      <x:c r="R26" s="70" t="str">
        <x:f>IF(OR(L26="已完成",E26=""),"",IF(E26&lt;TODAY(),"逾期","正常"))</x:f>
      </x:c>
    </x:row>
    <x:row r="27">
      <x:c r="A27" s="65" t="str">
        <x:v>EX-021</x:v>
      </x:c>
      <x:c r="B27" s="65" t="str"/>
      <x:c r="C27" s="65" t="str"/>
      <x:c r="D27" s="64"/>
      <x:c r="E27" s="64"/>
      <x:c r="F27" s="63" t="str">
        <x:v>普通</x:v>
      </x:c>
      <x:c r="G27" s="63" t="str"/>
      <x:c r="H27" s="63" t="str"/>
      <x:c r="I27" s="63" t="str"/>
      <x:c r="J27" s="63" t="str"/>
      <x:c r="K27" s="63" t="str"/>
      <x:c r="L27" s="63" t="str">
        <x:v>待接单</x:v>
      </x:c>
      <x:c r="M27" s="63" t="str"/>
      <x:c r="N27" s="63" t="str"/>
      <x:c r="O27" s="63" t="str"/>
      <x:c r="P27" s="63" t="str">
        <x:v>仅内部</x:v>
      </x:c>
      <x:c r="Q27" s="63" t="str">
        <x:v>未复核</x:v>
      </x:c>
      <x:c r="R27" s="70" t="str">
        <x:f>IF(OR(L27="已完成",E27=""),"",IF(E27&lt;TODAY(),"逾期","正常"))</x:f>
      </x:c>
    </x:row>
    <x:row r="28">
      <x:c r="A28" s="65" t="str">
        <x:v>EX-022</x:v>
      </x:c>
      <x:c r="B28" s="65" t="str"/>
      <x:c r="C28" s="65" t="str"/>
      <x:c r="D28" s="64"/>
      <x:c r="E28" s="64"/>
      <x:c r="F28" s="63" t="str">
        <x:v>普通</x:v>
      </x:c>
      <x:c r="G28" s="63" t="str"/>
      <x:c r="H28" s="63" t="str"/>
      <x:c r="I28" s="63" t="str"/>
      <x:c r="J28" s="63" t="str"/>
      <x:c r="K28" s="63" t="str"/>
      <x:c r="L28" s="63" t="str">
        <x:v>待接单</x:v>
      </x:c>
      <x:c r="M28" s="63" t="str"/>
      <x:c r="N28" s="63" t="str"/>
      <x:c r="O28" s="63" t="str"/>
      <x:c r="P28" s="63" t="str">
        <x:v>仅内部</x:v>
      </x:c>
      <x:c r="Q28" s="63" t="str">
        <x:v>未复核</x:v>
      </x:c>
      <x:c r="R28" s="70" t="str">
        <x:f>IF(OR(L28="已完成",E28=""),"",IF(E28&lt;TODAY(),"逾期","正常"))</x:f>
      </x:c>
    </x:row>
    <x:row r="29">
      <x:c r="A29" s="65" t="str">
        <x:v>EX-023</x:v>
      </x:c>
      <x:c r="B29" s="65" t="str"/>
      <x:c r="C29" s="65" t="str"/>
      <x:c r="D29" s="64"/>
      <x:c r="E29" s="64"/>
      <x:c r="F29" s="63" t="str">
        <x:v>普通</x:v>
      </x:c>
      <x:c r="G29" s="63" t="str"/>
      <x:c r="H29" s="63" t="str"/>
      <x:c r="I29" s="63" t="str"/>
      <x:c r="J29" s="63" t="str"/>
      <x:c r="K29" s="63" t="str"/>
      <x:c r="L29" s="63" t="str">
        <x:v>待接单</x:v>
      </x:c>
      <x:c r="M29" s="63" t="str"/>
      <x:c r="N29" s="63" t="str"/>
      <x:c r="O29" s="63" t="str"/>
      <x:c r="P29" s="63" t="str">
        <x:v>仅内部</x:v>
      </x:c>
      <x:c r="Q29" s="63" t="str">
        <x:v>未复核</x:v>
      </x:c>
      <x:c r="R29" s="70" t="str">
        <x:f>IF(OR(L29="已完成",E29=""),"",IF(E29&lt;TODAY(),"逾期","正常"))</x:f>
      </x:c>
    </x:row>
    <x:row r="30">
      <x:c r="A30" s="65" t="str">
        <x:v>EX-024</x:v>
      </x:c>
      <x:c r="B30" s="65" t="str"/>
      <x:c r="C30" s="65" t="str"/>
      <x:c r="D30" s="64"/>
      <x:c r="E30" s="64"/>
      <x:c r="F30" s="63" t="str">
        <x:v>普通</x:v>
      </x:c>
      <x:c r="G30" s="63" t="str"/>
      <x:c r="H30" s="63" t="str"/>
      <x:c r="I30" s="63" t="str"/>
      <x:c r="J30" s="63" t="str"/>
      <x:c r="K30" s="63" t="str"/>
      <x:c r="L30" s="63" t="str">
        <x:v>待接单</x:v>
      </x:c>
      <x:c r="M30" s="63" t="str"/>
      <x:c r="N30" s="63" t="str"/>
      <x:c r="O30" s="63" t="str"/>
      <x:c r="P30" s="63" t="str">
        <x:v>仅内部</x:v>
      </x:c>
      <x:c r="Q30" s="63" t="str">
        <x:v>未复核</x:v>
      </x:c>
      <x:c r="R30" s="70" t="str">
        <x:f>IF(OR(L30="已完成",E30=""),"",IF(E30&lt;TODAY(),"逾期","正常"))</x:f>
      </x:c>
    </x:row>
  </x:sheetData>
  <x:mergeCells>
    <x:mergeCell ref="A1:R1"/>
    <x:mergeCell ref="A2:R2"/>
    <x:mergeCell ref="J3:R3"/>
    <x:mergeCell ref="B4:C4"/>
    <x:mergeCell ref="E4:R4"/>
  </x:mergeCells>
  <x:conditionalFormatting sqref="R7:R30">
    <x:cfRule type="containsText" dxfId="1" priority="1" operator="containsText" text="逾期"/>
  </x:conditionalFormatting>
  <x:dataValidations count="5">
    <x:dataValidation type="list" sqref="F7:F30">
      <x:formula1>"普通,加急,重大项目"</x:formula1>
    </x:dataValidation>
    <x:dataValidation type="list" sqref="G7:G30">
      <x:formula1>"行业,产品,授信/风险,财资,供应链,跨境,投行/资本市场,法务/合规,数字化,ESG,税务,其他"</x:formula1>
    </x:dataValidation>
    <x:dataValidation type="list" sqref="L7:L30">
      <x:formula1>"待接单,已接单,进行中,待补资料,待复核,已完成,已关闭"</x:formula1>
    </x:dataValidation>
    <x:dataValidation type="list" sqref="P7:P30">
      <x:formula1>"可直接对客,修改后对客,仅内部"</x:formula1>
    </x:dataValidation>
    <x:dataValidation type="list" sqref="Q7:Q30">
      <x:formula1>"未复核,复核中,已复核,退回修改"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8" hidden="0" customWidth="1"/>
    <x:col min="7" max="7" width="22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20" hidden="0" customWidth="1"/>
    <x:col min="13" max="13" width="18" hidden="0" customWidth="1"/>
    <x:col min="14" max="14" width="16" hidden="0" customWidth="1"/>
    <x:col min="15" max="15" width="12" hidden="0" customWidth="1"/>
    <x:col min="16" max="16" width="14" hidden="0" customWidth="1"/>
    <x:col min="17" max="17" width="16" hidden="0" customWidth="1"/>
    <x:col min="18" max="18" width="18" hidden="0" customWidth="1"/>
    <x:col min="19" max="19" width="24" hidden="0" customWidth="1"/>
    <x:col min="20" max="20" width="24" hidden="0" customWidth="1"/>
    <x:col min="21" max="21" width="14" hidden="0" customWidth="1"/>
    <x:col min="22" max="22" width="18" hidden="0" customWidth="1"/>
  </x:cols>
  <x:sheetData>
    <x:row r="1" ht="34" customHeight="1">
      <x:c r="A1" s="5" t="str">
        <x:v>30/90/180天实施计划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9" t="str">
        <x:v>计划从客户确认的需求和已批准的方案出发。每项任务要有双方责任、依赖闸门、KPI、证据和问题升级路径。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>
      <x:c r="A3" s="74" t="str">
        <x:v>客户ID</x:v>
      </x:c>
      <x:c r="B3" s="70" t="str">
        <x:f>'客户信息采集'!B4</x:f>
        <x:v>〔填写〕</x:v>
      </x:c>
      <x:c r="C3" s="74" t="str">
        <x:v>客户名称</x:v>
      </x:c>
      <x:c r="D3" s="70" t="str">
        <x:f>'客户信息采集'!D4</x:f>
        <x:v>〔填写〕</x:v>
      </x:c>
      <x:c r="E3" s="74" t="str">
        <x:v>项目负责人</x:v>
      </x:c>
      <x:c r="F3" s="63" t="str">
        <x:v>〔填写〕</x:v>
      </x:c>
      <x:c r="G3" s="74" t="str">
        <x:v>启动日</x:v>
      </x:c>
      <x:c r="H3" s="64" t="n">
        <x:v>46253</x:v>
      </x:c>
      <x:c r="I3" s="74" t="str">
        <x:v>180天目标</x:v>
      </x:c>
      <x:c r="J3" s="63" t="str">
        <x:v>〔填写〕</x:v>
      </x:c>
      <x:c r="K3" s="74" t="str"/>
      <x:c r="L3" s="74" t="str"/>
      <x:c r="M3" s="74" t="str"/>
      <x:c r="N3" s="74" t="str"/>
      <x:c r="O3" s="74" t="str"/>
      <x:c r="P3" s="74" t="str"/>
      <x:c r="Q3" s="74" t="str"/>
      <x:c r="R3" s="74" t="str"/>
      <x:c r="S3" s="74" t="str"/>
      <x:c r="T3" s="74" t="str"/>
      <x:c r="U3" s="74" t="str"/>
      <x:c r="V3" s="74" t="str"/>
    </x:row>
    <x:row r="4">
      <x:c r="A4" s="74" t="str">
        <x:v>复盘机制</x:v>
      </x:c>
      <x:c r="B4" s="74" t="str">
        <x:v>周/月/里程碑</x:v>
      </x:c>
      <x:c r="C4" s="74" t="str"/>
      <x:c r="D4" s="74" t="str">
        <x:v>成功标准</x:v>
      </x:c>
      <x:c r="E4" s="74" t="str">
        <x:v>KPI+客户确认+证据</x:v>
      </x:c>
      <x:c r="F4" s="74" t="str"/>
      <x:c r="G4" s="74" t="str"/>
      <x:c r="H4" s="74" t="str"/>
      <x:c r="I4" s="74" t="str"/>
      <x:c r="J4" s="74" t="str"/>
      <x:c r="K4" s="74" t="str"/>
      <x:c r="L4" s="74" t="str"/>
      <x:c r="M4" s="74" t="str"/>
      <x:c r="N4" s="74" t="str"/>
      <x:c r="O4" s="74" t="str"/>
      <x:c r="P4" s="74" t="str"/>
      <x:c r="Q4" s="74" t="str"/>
      <x:c r="R4" s="74" t="str"/>
      <x:c r="S4" s="74" t="str"/>
      <x:c r="T4" s="74" t="str"/>
      <x:c r="U4" s="74" t="str"/>
      <x:c r="V4" s="74" t="str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</x:row>
    <x:row r="6" ht="30" customHeight="1">
      <x:c r="A6" s="17" t="str">
        <x:v>行动ID</x:v>
      </x:c>
      <x:c r="B6" s="17" t="str">
        <x:v>阶段</x:v>
      </x:c>
      <x:c r="C6" s="17" t="str">
        <x:v>需求ID</x:v>
      </x:c>
      <x:c r="D6" s="17" t="str">
        <x:v>映射ID</x:v>
      </x:c>
      <x:c r="E6" s="17" t="str">
        <x:v>里程碑</x:v>
      </x:c>
      <x:c r="F6" s="17" t="str">
        <x:v>任务/交付物</x:v>
      </x:c>
      <x:c r="G6" s="17" t="str">
        <x:v>银行负责人</x:v>
      </x:c>
      <x:c r="H6" s="17" t="str">
        <x:v>协同人</x:v>
      </x:c>
      <x:c r="I6" s="17" t="str">
        <x:v>客户负责人</x:v>
      </x:c>
      <x:c r="J6" s="17" t="str">
        <x:v>计划开始</x:v>
      </x:c>
      <x:c r="K6" s="17" t="str">
        <x:v>计划结束</x:v>
      </x:c>
      <x:c r="L6" s="17" t="str">
        <x:v>依赖/审批闸门</x:v>
      </x:c>
      <x:c r="M6" s="17" t="str">
        <x:v>KPI/目标</x:v>
      </x:c>
      <x:c r="N6" s="17" t="str">
        <x:v>状态</x:v>
      </x:c>
      <x:c r="O6" s="17" t="str">
        <x:v>进度%</x:v>
      </x:c>
      <x:c r="P6" s="17" t="str">
        <x:v>实际完成</x:v>
      </x:c>
      <x:c r="Q6" s="17" t="str">
        <x:v>逾期</x:v>
      </x:c>
      <x:c r="R6" s="17" t="str">
        <x:v>问题/风险</x:v>
      </x:c>
      <x:c r="S6" s="17" t="str">
        <x:v>缓释动作</x:v>
      </x:c>
      <x:c r="T6" s="17" t="str">
        <x:v>验收证据</x:v>
      </x:c>
      <x:c r="U6" s="17" t="str">
        <x:v>下次复盘</x:v>
      </x:c>
      <x:c r="V6" s="17" t="str">
        <x:v>变更/决定</x:v>
      </x:c>
    </x:row>
    <x:row r="7">
      <x:c r="A7" s="65" t="str">
        <x:v>A-001</x:v>
      </x:c>
      <x:c r="B7" s="65" t="str">
        <x:v>0—30天</x:v>
      </x:c>
      <x:c r="C7" s="65" t="str"/>
      <x:c r="D7" s="65" t="str"/>
      <x:c r="E7" s="63" t="str"/>
      <x:c r="F7" s="63" t="str"/>
      <x:c r="G7" s="63" t="str"/>
      <x:c r="H7" s="63" t="str"/>
      <x:c r="I7" s="63" t="str"/>
      <x:c r="J7" s="64"/>
      <x:c r="K7" s="64"/>
      <x:c r="L7" s="63" t="str"/>
      <x:c r="M7" s="63" t="str"/>
      <x:c r="N7" s="63" t="str">
        <x:v>未开始</x:v>
      </x:c>
      <x:c r="O7" s="75" t="n">
        <x:v>0</x:v>
      </x:c>
      <x:c r="P7" s="64"/>
      <x:c r="Q7" s="70" t="str">
        <x:f>IF(OR(N7="已完成",K7=""),"",IF(K7&lt;TODAY(),"逾期","正常"))</x:f>
      </x:c>
      <x:c r="R7" s="63" t="str"/>
      <x:c r="S7" s="63" t="str"/>
      <x:c r="T7" s="63" t="str"/>
      <x:c r="U7" s="64"/>
      <x:c r="V7" s="63" t="str"/>
    </x:row>
    <x:row r="8">
      <x:c r="A8" s="65" t="str">
        <x:v>A-002</x:v>
      </x:c>
      <x:c r="B8" s="65" t="str">
        <x:v>0—30天</x:v>
      </x:c>
      <x:c r="C8" s="65" t="str"/>
      <x:c r="D8" s="65" t="str"/>
      <x:c r="E8" s="63" t="str"/>
      <x:c r="F8" s="63" t="str"/>
      <x:c r="G8" s="63" t="str"/>
      <x:c r="H8" s="63" t="str"/>
      <x:c r="I8" s="63" t="str"/>
      <x:c r="J8" s="64"/>
      <x:c r="K8" s="64"/>
      <x:c r="L8" s="63" t="str"/>
      <x:c r="M8" s="63" t="str"/>
      <x:c r="N8" s="63" t="str">
        <x:v>未开始</x:v>
      </x:c>
      <x:c r="O8" s="75" t="n">
        <x:v>0</x:v>
      </x:c>
      <x:c r="P8" s="64"/>
      <x:c r="Q8" s="70" t="str">
        <x:f>IF(OR(N8="已完成",K8=""),"",IF(K8&lt;TODAY(),"逾期","正常"))</x:f>
      </x:c>
      <x:c r="R8" s="63" t="str"/>
      <x:c r="S8" s="63" t="str"/>
      <x:c r="T8" s="63" t="str"/>
      <x:c r="U8" s="64"/>
      <x:c r="V8" s="63" t="str"/>
    </x:row>
    <x:row r="9">
      <x:c r="A9" s="65" t="str">
        <x:v>A-003</x:v>
      </x:c>
      <x:c r="B9" s="65" t="str">
        <x:v>0—30天</x:v>
      </x:c>
      <x:c r="C9" s="65" t="str"/>
      <x:c r="D9" s="65" t="str"/>
      <x:c r="E9" s="63" t="str"/>
      <x:c r="F9" s="63" t="str"/>
      <x:c r="G9" s="63" t="str"/>
      <x:c r="H9" s="63" t="str"/>
      <x:c r="I9" s="63" t="str"/>
      <x:c r="J9" s="64"/>
      <x:c r="K9" s="64"/>
      <x:c r="L9" s="63" t="str"/>
      <x:c r="M9" s="63" t="str"/>
      <x:c r="N9" s="63" t="str">
        <x:v>未开始</x:v>
      </x:c>
      <x:c r="O9" s="75" t="n">
        <x:v>0</x:v>
      </x:c>
      <x:c r="P9" s="64"/>
      <x:c r="Q9" s="70" t="str">
        <x:f>IF(OR(N9="已完成",K9=""),"",IF(K9&lt;TODAY(),"逾期","正常"))</x:f>
      </x:c>
      <x:c r="R9" s="63" t="str"/>
      <x:c r="S9" s="63" t="str"/>
      <x:c r="T9" s="63" t="str"/>
      <x:c r="U9" s="64"/>
      <x:c r="V9" s="63" t="str"/>
    </x:row>
    <x:row r="10">
      <x:c r="A10" s="65" t="str">
        <x:v>A-004</x:v>
      </x:c>
      <x:c r="B10" s="65" t="str">
        <x:v>0—30天</x:v>
      </x:c>
      <x:c r="C10" s="65" t="str"/>
      <x:c r="D10" s="65" t="str"/>
      <x:c r="E10" s="63" t="str"/>
      <x:c r="F10" s="63" t="str"/>
      <x:c r="G10" s="63" t="str"/>
      <x:c r="H10" s="63" t="str"/>
      <x:c r="I10" s="63" t="str"/>
      <x:c r="J10" s="64"/>
      <x:c r="K10" s="64"/>
      <x:c r="L10" s="63" t="str"/>
      <x:c r="M10" s="63" t="str"/>
      <x:c r="N10" s="63" t="str">
        <x:v>未开始</x:v>
      </x:c>
      <x:c r="O10" s="75" t="n">
        <x:v>0</x:v>
      </x:c>
      <x:c r="P10" s="64"/>
      <x:c r="Q10" s="70" t="str">
        <x:f>IF(OR(N10="已完成",K10=""),"",IF(K10&lt;TODAY(),"逾期","正常"))</x:f>
      </x:c>
      <x:c r="R10" s="63" t="str"/>
      <x:c r="S10" s="63" t="str"/>
      <x:c r="T10" s="63" t="str"/>
      <x:c r="U10" s="64"/>
      <x:c r="V10" s="63" t="str"/>
    </x:row>
    <x:row r="11">
      <x:c r="A11" s="65" t="str">
        <x:v>A-005</x:v>
      </x:c>
      <x:c r="B11" s="65" t="str">
        <x:v>0—30天</x:v>
      </x:c>
      <x:c r="C11" s="65" t="str"/>
      <x:c r="D11" s="65" t="str"/>
      <x:c r="E11" s="63" t="str"/>
      <x:c r="F11" s="63" t="str"/>
      <x:c r="G11" s="63" t="str"/>
      <x:c r="H11" s="63" t="str"/>
      <x:c r="I11" s="63" t="str"/>
      <x:c r="J11" s="64"/>
      <x:c r="K11" s="64"/>
      <x:c r="L11" s="63" t="str"/>
      <x:c r="M11" s="63" t="str"/>
      <x:c r="N11" s="63" t="str">
        <x:v>未开始</x:v>
      </x:c>
      <x:c r="O11" s="75" t="n">
        <x:v>0</x:v>
      </x:c>
      <x:c r="P11" s="64"/>
      <x:c r="Q11" s="70" t="str">
        <x:f>IF(OR(N11="已完成",K11=""),"",IF(K11&lt;TODAY(),"逾期","正常"))</x:f>
      </x:c>
      <x:c r="R11" s="63" t="str"/>
      <x:c r="S11" s="63" t="str"/>
      <x:c r="T11" s="63" t="str"/>
      <x:c r="U11" s="64"/>
      <x:c r="V11" s="63" t="str"/>
    </x:row>
    <x:row r="12">
      <x:c r="A12" s="65" t="str">
        <x:v>A-006</x:v>
      </x:c>
      <x:c r="B12" s="65" t="str">
        <x:v>0—30天</x:v>
      </x:c>
      <x:c r="C12" s="65" t="str"/>
      <x:c r="D12" s="65" t="str"/>
      <x:c r="E12" s="63" t="str"/>
      <x:c r="F12" s="63" t="str"/>
      <x:c r="G12" s="63" t="str"/>
      <x:c r="H12" s="63" t="str"/>
      <x:c r="I12" s="63" t="str"/>
      <x:c r="J12" s="64"/>
      <x:c r="K12" s="64"/>
      <x:c r="L12" s="63" t="str"/>
      <x:c r="M12" s="63" t="str"/>
      <x:c r="N12" s="63" t="str">
        <x:v>未开始</x:v>
      </x:c>
      <x:c r="O12" s="75" t="n">
        <x:v>0</x:v>
      </x:c>
      <x:c r="P12" s="64"/>
      <x:c r="Q12" s="70" t="str">
        <x:f>IF(OR(N12="已完成",K12=""),"",IF(K12&lt;TODAY(),"逾期","正常"))</x:f>
      </x:c>
      <x:c r="R12" s="63" t="str"/>
      <x:c r="S12" s="63" t="str"/>
      <x:c r="T12" s="63" t="str"/>
      <x:c r="U12" s="64"/>
      <x:c r="V12" s="63" t="str"/>
    </x:row>
    <x:row r="13">
      <x:c r="A13" s="65" t="str">
        <x:v>A-007</x:v>
      </x:c>
      <x:c r="B13" s="65" t="str">
        <x:v>0—30天</x:v>
      </x:c>
      <x:c r="C13" s="65" t="str"/>
      <x:c r="D13" s="65" t="str"/>
      <x:c r="E13" s="63" t="str"/>
      <x:c r="F13" s="63" t="str"/>
      <x:c r="G13" s="63" t="str"/>
      <x:c r="H13" s="63" t="str"/>
      <x:c r="I13" s="63" t="str"/>
      <x:c r="J13" s="64"/>
      <x:c r="K13" s="64"/>
      <x:c r="L13" s="63" t="str"/>
      <x:c r="M13" s="63" t="str"/>
      <x:c r="N13" s="63" t="str">
        <x:v>未开始</x:v>
      </x:c>
      <x:c r="O13" s="75" t="n">
        <x:v>0</x:v>
      </x:c>
      <x:c r="P13" s="64"/>
      <x:c r="Q13" s="70" t="str">
        <x:f>IF(OR(N13="已完成",K13=""),"",IF(K13&lt;TODAY(),"逾期","正常"))</x:f>
      </x:c>
      <x:c r="R13" s="63" t="str"/>
      <x:c r="S13" s="63" t="str"/>
      <x:c r="T13" s="63" t="str"/>
      <x:c r="U13" s="64"/>
      <x:c r="V13" s="63" t="str"/>
    </x:row>
    <x:row r="14">
      <x:c r="A14" s="65" t="str">
        <x:v>A-008</x:v>
      </x:c>
      <x:c r="B14" s="65" t="str">
        <x:v>0—30天</x:v>
      </x:c>
      <x:c r="C14" s="65" t="str"/>
      <x:c r="D14" s="65" t="str"/>
      <x:c r="E14" s="63" t="str"/>
      <x:c r="F14" s="63" t="str"/>
      <x:c r="G14" s="63" t="str"/>
      <x:c r="H14" s="63" t="str"/>
      <x:c r="I14" s="63" t="str"/>
      <x:c r="J14" s="64"/>
      <x:c r="K14" s="64"/>
      <x:c r="L14" s="63" t="str"/>
      <x:c r="M14" s="63" t="str"/>
      <x:c r="N14" s="63" t="str">
        <x:v>未开始</x:v>
      </x:c>
      <x:c r="O14" s="75" t="n">
        <x:v>0</x:v>
      </x:c>
      <x:c r="P14" s="64"/>
      <x:c r="Q14" s="70" t="str">
        <x:f>IF(OR(N14="已完成",K14=""),"",IF(K14&lt;TODAY(),"逾期","正常"))</x:f>
      </x:c>
      <x:c r="R14" s="63" t="str"/>
      <x:c r="S14" s="63" t="str"/>
      <x:c r="T14" s="63" t="str"/>
      <x:c r="U14" s="64"/>
      <x:c r="V14" s="63" t="str"/>
    </x:row>
    <x:row r="15">
      <x:c r="A15" s="65" t="str">
        <x:v>A-009</x:v>
      </x:c>
      <x:c r="B15" s="65" t="str">
        <x:v>0—30天</x:v>
      </x:c>
      <x:c r="C15" s="65" t="str"/>
      <x:c r="D15" s="65" t="str"/>
      <x:c r="E15" s="63" t="str"/>
      <x:c r="F15" s="63" t="str"/>
      <x:c r="G15" s="63" t="str"/>
      <x:c r="H15" s="63" t="str"/>
      <x:c r="I15" s="63" t="str"/>
      <x:c r="J15" s="64"/>
      <x:c r="K15" s="64"/>
      <x:c r="L15" s="63" t="str"/>
      <x:c r="M15" s="63" t="str"/>
      <x:c r="N15" s="63" t="str">
        <x:v>未开始</x:v>
      </x:c>
      <x:c r="O15" s="75" t="n">
        <x:v>0</x:v>
      </x:c>
      <x:c r="P15" s="64"/>
      <x:c r="Q15" s="70" t="str">
        <x:f>IF(OR(N15="已完成",K15=""),"",IF(K15&lt;TODAY(),"逾期","正常"))</x:f>
      </x:c>
      <x:c r="R15" s="63" t="str"/>
      <x:c r="S15" s="63" t="str"/>
      <x:c r="T15" s="63" t="str"/>
      <x:c r="U15" s="64"/>
      <x:c r="V15" s="63" t="str"/>
    </x:row>
    <x:row r="16">
      <x:c r="A16" s="65" t="str">
        <x:v>A-010</x:v>
      </x:c>
      <x:c r="B16" s="65" t="str">
        <x:v>0—30天</x:v>
      </x:c>
      <x:c r="C16" s="65" t="str"/>
      <x:c r="D16" s="65" t="str"/>
      <x:c r="E16" s="63" t="str"/>
      <x:c r="F16" s="63" t="str"/>
      <x:c r="G16" s="63" t="str"/>
      <x:c r="H16" s="63" t="str"/>
      <x:c r="I16" s="63" t="str"/>
      <x:c r="J16" s="64"/>
      <x:c r="K16" s="64"/>
      <x:c r="L16" s="63" t="str"/>
      <x:c r="M16" s="63" t="str"/>
      <x:c r="N16" s="63" t="str">
        <x:v>未开始</x:v>
      </x:c>
      <x:c r="O16" s="75" t="n">
        <x:v>0</x:v>
      </x:c>
      <x:c r="P16" s="64"/>
      <x:c r="Q16" s="70" t="str">
        <x:f>IF(OR(N16="已完成",K16=""),"",IF(K16&lt;TODAY(),"逾期","正常"))</x:f>
      </x:c>
      <x:c r="R16" s="63" t="str"/>
      <x:c r="S16" s="63" t="str"/>
      <x:c r="T16" s="63" t="str"/>
      <x:c r="U16" s="64"/>
      <x:c r="V16" s="63" t="str"/>
    </x:row>
    <x:row r="17">
      <x:c r="A17" s="65" t="str">
        <x:v>A-011</x:v>
      </x:c>
      <x:c r="B17" s="65" t="str">
        <x:v>0—30天</x:v>
      </x:c>
      <x:c r="C17" s="65" t="str"/>
      <x:c r="D17" s="65" t="str"/>
      <x:c r="E17" s="63" t="str"/>
      <x:c r="F17" s="63" t="str"/>
      <x:c r="G17" s="63" t="str"/>
      <x:c r="H17" s="63" t="str"/>
      <x:c r="I17" s="63" t="str"/>
      <x:c r="J17" s="64"/>
      <x:c r="K17" s="64"/>
      <x:c r="L17" s="63" t="str"/>
      <x:c r="M17" s="63" t="str"/>
      <x:c r="N17" s="63" t="str">
        <x:v>未开始</x:v>
      </x:c>
      <x:c r="O17" s="75" t="n">
        <x:v>0</x:v>
      </x:c>
      <x:c r="P17" s="64"/>
      <x:c r="Q17" s="70" t="str">
        <x:f>IF(OR(N17="已完成",K17=""),"",IF(K17&lt;TODAY(),"逾期","正常"))</x:f>
      </x:c>
      <x:c r="R17" s="63" t="str"/>
      <x:c r="S17" s="63" t="str"/>
      <x:c r="T17" s="63" t="str"/>
      <x:c r="U17" s="64"/>
      <x:c r="V17" s="63" t="str"/>
    </x:row>
    <x:row r="18">
      <x:c r="A18" s="65" t="str">
        <x:v>A-012</x:v>
      </x:c>
      <x:c r="B18" s="65" t="str">
        <x:v>0—30天</x:v>
      </x:c>
      <x:c r="C18" s="65" t="str"/>
      <x:c r="D18" s="65" t="str"/>
      <x:c r="E18" s="63" t="str"/>
      <x:c r="F18" s="63" t="str"/>
      <x:c r="G18" s="63" t="str"/>
      <x:c r="H18" s="63" t="str"/>
      <x:c r="I18" s="63" t="str"/>
      <x:c r="J18" s="64"/>
      <x:c r="K18" s="64"/>
      <x:c r="L18" s="63" t="str"/>
      <x:c r="M18" s="63" t="str"/>
      <x:c r="N18" s="63" t="str">
        <x:v>未开始</x:v>
      </x:c>
      <x:c r="O18" s="75" t="n">
        <x:v>0</x:v>
      </x:c>
      <x:c r="P18" s="64"/>
      <x:c r="Q18" s="70" t="str">
        <x:f>IF(OR(N18="已完成",K18=""),"",IF(K18&lt;TODAY(),"逾期","正常"))</x:f>
      </x:c>
      <x:c r="R18" s="63" t="str"/>
      <x:c r="S18" s="63" t="str"/>
      <x:c r="T18" s="63" t="str"/>
      <x:c r="U18" s="64"/>
      <x:c r="V18" s="63" t="str"/>
    </x:row>
    <x:row r="19">
      <x:c r="A19" s="65" t="str">
        <x:v>A-013</x:v>
      </x:c>
      <x:c r="B19" s="65" t="str">
        <x:v>31—90天</x:v>
      </x:c>
      <x:c r="C19" s="65" t="str"/>
      <x:c r="D19" s="65" t="str"/>
      <x:c r="E19" s="63" t="str"/>
      <x:c r="F19" s="63" t="str"/>
      <x:c r="G19" s="63" t="str"/>
      <x:c r="H19" s="63" t="str"/>
      <x:c r="I19" s="63" t="str"/>
      <x:c r="J19" s="64"/>
      <x:c r="K19" s="64"/>
      <x:c r="L19" s="63" t="str"/>
      <x:c r="M19" s="63" t="str"/>
      <x:c r="N19" s="63" t="str">
        <x:v>未开始</x:v>
      </x:c>
      <x:c r="O19" s="75" t="n">
        <x:v>0</x:v>
      </x:c>
      <x:c r="P19" s="64"/>
      <x:c r="Q19" s="70" t="str">
        <x:f>IF(OR(N19="已完成",K19=""),"",IF(K19&lt;TODAY(),"逾期","正常"))</x:f>
      </x:c>
      <x:c r="R19" s="63" t="str"/>
      <x:c r="S19" s="63" t="str"/>
      <x:c r="T19" s="63" t="str"/>
      <x:c r="U19" s="64"/>
      <x:c r="V19" s="63" t="str"/>
    </x:row>
    <x:row r="20">
      <x:c r="A20" s="65" t="str">
        <x:v>A-014</x:v>
      </x:c>
      <x:c r="B20" s="65" t="str">
        <x:v>31—90天</x:v>
      </x:c>
      <x:c r="C20" s="65" t="str"/>
      <x:c r="D20" s="65" t="str"/>
      <x:c r="E20" s="63" t="str"/>
      <x:c r="F20" s="63" t="str"/>
      <x:c r="G20" s="63" t="str"/>
      <x:c r="H20" s="63" t="str"/>
      <x:c r="I20" s="63" t="str"/>
      <x:c r="J20" s="64"/>
      <x:c r="K20" s="64"/>
      <x:c r="L20" s="63" t="str"/>
      <x:c r="M20" s="63" t="str"/>
      <x:c r="N20" s="63" t="str">
        <x:v>未开始</x:v>
      </x:c>
      <x:c r="O20" s="75" t="n">
        <x:v>0</x:v>
      </x:c>
      <x:c r="P20" s="64"/>
      <x:c r="Q20" s="70" t="str">
        <x:f>IF(OR(N20="已完成",K20=""),"",IF(K20&lt;TODAY(),"逾期","正常"))</x:f>
      </x:c>
      <x:c r="R20" s="63" t="str"/>
      <x:c r="S20" s="63" t="str"/>
      <x:c r="T20" s="63" t="str"/>
      <x:c r="U20" s="64"/>
      <x:c r="V20" s="63" t="str"/>
    </x:row>
    <x:row r="21">
      <x:c r="A21" s="65" t="str">
        <x:v>A-015</x:v>
      </x:c>
      <x:c r="B21" s="65" t="str">
        <x:v>31—90天</x:v>
      </x:c>
      <x:c r="C21" s="65" t="str"/>
      <x:c r="D21" s="65" t="str"/>
      <x:c r="E21" s="63" t="str"/>
      <x:c r="F21" s="63" t="str"/>
      <x:c r="G21" s="63" t="str"/>
      <x:c r="H21" s="63" t="str"/>
      <x:c r="I21" s="63" t="str"/>
      <x:c r="J21" s="64"/>
      <x:c r="K21" s="64"/>
      <x:c r="L21" s="63" t="str"/>
      <x:c r="M21" s="63" t="str"/>
      <x:c r="N21" s="63" t="str">
        <x:v>未开始</x:v>
      </x:c>
      <x:c r="O21" s="75" t="n">
        <x:v>0</x:v>
      </x:c>
      <x:c r="P21" s="64"/>
      <x:c r="Q21" s="70" t="str">
        <x:f>IF(OR(N21="已完成",K21=""),"",IF(K21&lt;TODAY(),"逾期","正常"))</x:f>
      </x:c>
      <x:c r="R21" s="63" t="str"/>
      <x:c r="S21" s="63" t="str"/>
      <x:c r="T21" s="63" t="str"/>
      <x:c r="U21" s="64"/>
      <x:c r="V21" s="63" t="str"/>
    </x:row>
    <x:row r="22">
      <x:c r="A22" s="65" t="str">
        <x:v>A-016</x:v>
      </x:c>
      <x:c r="B22" s="65" t="str">
        <x:v>31—90天</x:v>
      </x:c>
      <x:c r="C22" s="65" t="str"/>
      <x:c r="D22" s="65" t="str"/>
      <x:c r="E22" s="63" t="str"/>
      <x:c r="F22" s="63" t="str"/>
      <x:c r="G22" s="63" t="str"/>
      <x:c r="H22" s="63" t="str"/>
      <x:c r="I22" s="63" t="str"/>
      <x:c r="J22" s="64"/>
      <x:c r="K22" s="64"/>
      <x:c r="L22" s="63" t="str"/>
      <x:c r="M22" s="63" t="str"/>
      <x:c r="N22" s="63" t="str">
        <x:v>未开始</x:v>
      </x:c>
      <x:c r="O22" s="75" t="n">
        <x:v>0</x:v>
      </x:c>
      <x:c r="P22" s="64"/>
      <x:c r="Q22" s="70" t="str">
        <x:f>IF(OR(N22="已完成",K22=""),"",IF(K22&lt;TODAY(),"逾期","正常"))</x:f>
      </x:c>
      <x:c r="R22" s="63" t="str"/>
      <x:c r="S22" s="63" t="str"/>
      <x:c r="T22" s="63" t="str"/>
      <x:c r="U22" s="64"/>
      <x:c r="V22" s="63" t="str"/>
    </x:row>
    <x:row r="23">
      <x:c r="A23" s="65" t="str">
        <x:v>A-017</x:v>
      </x:c>
      <x:c r="B23" s="65" t="str">
        <x:v>31—90天</x:v>
      </x:c>
      <x:c r="C23" s="65" t="str"/>
      <x:c r="D23" s="65" t="str"/>
      <x:c r="E23" s="63" t="str"/>
      <x:c r="F23" s="63" t="str"/>
      <x:c r="G23" s="63" t="str"/>
      <x:c r="H23" s="63" t="str"/>
      <x:c r="I23" s="63" t="str"/>
      <x:c r="J23" s="64"/>
      <x:c r="K23" s="64"/>
      <x:c r="L23" s="63" t="str"/>
      <x:c r="M23" s="63" t="str"/>
      <x:c r="N23" s="63" t="str">
        <x:v>未开始</x:v>
      </x:c>
      <x:c r="O23" s="75" t="n">
        <x:v>0</x:v>
      </x:c>
      <x:c r="P23" s="64"/>
      <x:c r="Q23" s="70" t="str">
        <x:f>IF(OR(N23="已完成",K23=""),"",IF(K23&lt;TODAY(),"逾期","正常"))</x:f>
      </x:c>
      <x:c r="R23" s="63" t="str"/>
      <x:c r="S23" s="63" t="str"/>
      <x:c r="T23" s="63" t="str"/>
      <x:c r="U23" s="64"/>
      <x:c r="V23" s="63" t="str"/>
    </x:row>
    <x:row r="24">
      <x:c r="A24" s="65" t="str">
        <x:v>A-018</x:v>
      </x:c>
      <x:c r="B24" s="65" t="str">
        <x:v>31—90天</x:v>
      </x:c>
      <x:c r="C24" s="65" t="str"/>
      <x:c r="D24" s="65" t="str"/>
      <x:c r="E24" s="63" t="str"/>
      <x:c r="F24" s="63" t="str"/>
      <x:c r="G24" s="63" t="str"/>
      <x:c r="H24" s="63" t="str"/>
      <x:c r="I24" s="63" t="str"/>
      <x:c r="J24" s="64"/>
      <x:c r="K24" s="64"/>
      <x:c r="L24" s="63" t="str"/>
      <x:c r="M24" s="63" t="str"/>
      <x:c r="N24" s="63" t="str">
        <x:v>未开始</x:v>
      </x:c>
      <x:c r="O24" s="75" t="n">
        <x:v>0</x:v>
      </x:c>
      <x:c r="P24" s="64"/>
      <x:c r="Q24" s="70" t="str">
        <x:f>IF(OR(N24="已完成",K24=""),"",IF(K24&lt;TODAY(),"逾期","正常"))</x:f>
      </x:c>
      <x:c r="R24" s="63" t="str"/>
      <x:c r="S24" s="63" t="str"/>
      <x:c r="T24" s="63" t="str"/>
      <x:c r="U24" s="64"/>
      <x:c r="V24" s="63" t="str"/>
    </x:row>
    <x:row r="25">
      <x:c r="A25" s="65" t="str">
        <x:v>A-019</x:v>
      </x:c>
      <x:c r="B25" s="65" t="str">
        <x:v>31—90天</x:v>
      </x:c>
      <x:c r="C25" s="65" t="str"/>
      <x:c r="D25" s="65" t="str"/>
      <x:c r="E25" s="63" t="str"/>
      <x:c r="F25" s="63" t="str"/>
      <x:c r="G25" s="63" t="str"/>
      <x:c r="H25" s="63" t="str"/>
      <x:c r="I25" s="63" t="str"/>
      <x:c r="J25" s="64"/>
      <x:c r="K25" s="64"/>
      <x:c r="L25" s="63" t="str"/>
      <x:c r="M25" s="63" t="str"/>
      <x:c r="N25" s="63" t="str">
        <x:v>未开始</x:v>
      </x:c>
      <x:c r="O25" s="75" t="n">
        <x:v>0</x:v>
      </x:c>
      <x:c r="P25" s="64"/>
      <x:c r="Q25" s="70" t="str">
        <x:f>IF(OR(N25="已完成",K25=""),"",IF(K25&lt;TODAY(),"逾期","正常"))</x:f>
      </x:c>
      <x:c r="R25" s="63" t="str"/>
      <x:c r="S25" s="63" t="str"/>
      <x:c r="T25" s="63" t="str"/>
      <x:c r="U25" s="64"/>
      <x:c r="V25" s="63" t="str"/>
    </x:row>
    <x:row r="26">
      <x:c r="A26" s="65" t="str">
        <x:v>A-020</x:v>
      </x:c>
      <x:c r="B26" s="65" t="str">
        <x:v>31—90天</x:v>
      </x:c>
      <x:c r="C26" s="65" t="str"/>
      <x:c r="D26" s="65" t="str"/>
      <x:c r="E26" s="63" t="str"/>
      <x:c r="F26" s="63" t="str"/>
      <x:c r="G26" s="63" t="str"/>
      <x:c r="H26" s="63" t="str"/>
      <x:c r="I26" s="63" t="str"/>
      <x:c r="J26" s="64"/>
      <x:c r="K26" s="64"/>
      <x:c r="L26" s="63" t="str"/>
      <x:c r="M26" s="63" t="str"/>
      <x:c r="N26" s="63" t="str">
        <x:v>未开始</x:v>
      </x:c>
      <x:c r="O26" s="75" t="n">
        <x:v>0</x:v>
      </x:c>
      <x:c r="P26" s="64"/>
      <x:c r="Q26" s="70" t="str">
        <x:f>IF(OR(N26="已完成",K26=""),"",IF(K26&lt;TODAY(),"逾期","正常"))</x:f>
      </x:c>
      <x:c r="R26" s="63" t="str"/>
      <x:c r="S26" s="63" t="str"/>
      <x:c r="T26" s="63" t="str"/>
      <x:c r="U26" s="64"/>
      <x:c r="V26" s="63" t="str"/>
    </x:row>
    <x:row r="27">
      <x:c r="A27" s="65" t="str">
        <x:v>A-021</x:v>
      </x:c>
      <x:c r="B27" s="65" t="str">
        <x:v>31—90天</x:v>
      </x:c>
      <x:c r="C27" s="65" t="str"/>
      <x:c r="D27" s="65" t="str"/>
      <x:c r="E27" s="63" t="str"/>
      <x:c r="F27" s="63" t="str"/>
      <x:c r="G27" s="63" t="str"/>
      <x:c r="H27" s="63" t="str"/>
      <x:c r="I27" s="63" t="str"/>
      <x:c r="J27" s="64"/>
      <x:c r="K27" s="64"/>
      <x:c r="L27" s="63" t="str"/>
      <x:c r="M27" s="63" t="str"/>
      <x:c r="N27" s="63" t="str">
        <x:v>未开始</x:v>
      </x:c>
      <x:c r="O27" s="75" t="n">
        <x:v>0</x:v>
      </x:c>
      <x:c r="P27" s="64"/>
      <x:c r="Q27" s="70" t="str">
        <x:f>IF(OR(N27="已完成",K27=""),"",IF(K27&lt;TODAY(),"逾期","正常"))</x:f>
      </x:c>
      <x:c r="R27" s="63" t="str"/>
      <x:c r="S27" s="63" t="str"/>
      <x:c r="T27" s="63" t="str"/>
      <x:c r="U27" s="64"/>
      <x:c r="V27" s="63" t="str"/>
    </x:row>
    <x:row r="28">
      <x:c r="A28" s="65" t="str">
        <x:v>A-022</x:v>
      </x:c>
      <x:c r="B28" s="65" t="str">
        <x:v>31—90天</x:v>
      </x:c>
      <x:c r="C28" s="65" t="str"/>
      <x:c r="D28" s="65" t="str"/>
      <x:c r="E28" s="63" t="str"/>
      <x:c r="F28" s="63" t="str"/>
      <x:c r="G28" s="63" t="str"/>
      <x:c r="H28" s="63" t="str"/>
      <x:c r="I28" s="63" t="str"/>
      <x:c r="J28" s="64"/>
      <x:c r="K28" s="64"/>
      <x:c r="L28" s="63" t="str"/>
      <x:c r="M28" s="63" t="str"/>
      <x:c r="N28" s="63" t="str">
        <x:v>未开始</x:v>
      </x:c>
      <x:c r="O28" s="75" t="n">
        <x:v>0</x:v>
      </x:c>
      <x:c r="P28" s="64"/>
      <x:c r="Q28" s="70" t="str">
        <x:f>IF(OR(N28="已完成",K28=""),"",IF(K28&lt;TODAY(),"逾期","正常"))</x:f>
      </x:c>
      <x:c r="R28" s="63" t="str"/>
      <x:c r="S28" s="63" t="str"/>
      <x:c r="T28" s="63" t="str"/>
      <x:c r="U28" s="64"/>
      <x:c r="V28" s="63" t="str"/>
    </x:row>
    <x:row r="29">
      <x:c r="A29" s="65" t="str">
        <x:v>A-023</x:v>
      </x:c>
      <x:c r="B29" s="65" t="str">
        <x:v>31—90天</x:v>
      </x:c>
      <x:c r="C29" s="65" t="str"/>
      <x:c r="D29" s="65" t="str"/>
      <x:c r="E29" s="63" t="str"/>
      <x:c r="F29" s="63" t="str"/>
      <x:c r="G29" s="63" t="str"/>
      <x:c r="H29" s="63" t="str"/>
      <x:c r="I29" s="63" t="str"/>
      <x:c r="J29" s="64"/>
      <x:c r="K29" s="64"/>
      <x:c r="L29" s="63" t="str"/>
      <x:c r="M29" s="63" t="str"/>
      <x:c r="N29" s="63" t="str">
        <x:v>未开始</x:v>
      </x:c>
      <x:c r="O29" s="75" t="n">
        <x:v>0</x:v>
      </x:c>
      <x:c r="P29" s="64"/>
      <x:c r="Q29" s="70" t="str">
        <x:f>IF(OR(N29="已完成",K29=""),"",IF(K29&lt;TODAY(),"逾期","正常"))</x:f>
      </x:c>
      <x:c r="R29" s="63" t="str"/>
      <x:c r="S29" s="63" t="str"/>
      <x:c r="T29" s="63" t="str"/>
      <x:c r="U29" s="64"/>
      <x:c r="V29" s="63" t="str"/>
    </x:row>
    <x:row r="30">
      <x:c r="A30" s="65" t="str">
        <x:v>A-024</x:v>
      </x:c>
      <x:c r="B30" s="65" t="str">
        <x:v>31—90天</x:v>
      </x:c>
      <x:c r="C30" s="65" t="str"/>
      <x:c r="D30" s="65" t="str"/>
      <x:c r="E30" s="63" t="str"/>
      <x:c r="F30" s="63" t="str"/>
      <x:c r="G30" s="63" t="str"/>
      <x:c r="H30" s="63" t="str"/>
      <x:c r="I30" s="63" t="str"/>
      <x:c r="J30" s="64"/>
      <x:c r="K30" s="64"/>
      <x:c r="L30" s="63" t="str"/>
      <x:c r="M30" s="63" t="str"/>
      <x:c r="N30" s="63" t="str">
        <x:v>未开始</x:v>
      </x:c>
      <x:c r="O30" s="75" t="n">
        <x:v>0</x:v>
      </x:c>
      <x:c r="P30" s="64"/>
      <x:c r="Q30" s="70" t="str">
        <x:f>IF(OR(N30="已完成",K30=""),"",IF(K30&lt;TODAY(),"逾期","正常"))</x:f>
      </x:c>
      <x:c r="R30" s="63" t="str"/>
      <x:c r="S30" s="63" t="str"/>
      <x:c r="T30" s="63" t="str"/>
      <x:c r="U30" s="64"/>
      <x:c r="V30" s="63" t="str"/>
    </x:row>
    <x:row r="31">
      <x:c r="A31" s="65" t="str">
        <x:v>A-025</x:v>
      </x:c>
      <x:c r="B31" s="65" t="str">
        <x:v>91—180天</x:v>
      </x:c>
      <x:c r="C31" s="65" t="str"/>
      <x:c r="D31" s="65" t="str"/>
      <x:c r="E31" s="63" t="str"/>
      <x:c r="F31" s="63" t="str"/>
      <x:c r="G31" s="63" t="str"/>
      <x:c r="H31" s="63" t="str"/>
      <x:c r="I31" s="63" t="str"/>
      <x:c r="J31" s="64"/>
      <x:c r="K31" s="64"/>
      <x:c r="L31" s="63" t="str"/>
      <x:c r="M31" s="63" t="str"/>
      <x:c r="N31" s="63" t="str">
        <x:v>未开始</x:v>
      </x:c>
      <x:c r="O31" s="75" t="n">
        <x:v>0</x:v>
      </x:c>
      <x:c r="P31" s="64"/>
      <x:c r="Q31" s="70" t="str">
        <x:f>IF(OR(N31="已完成",K31=""),"",IF(K31&lt;TODAY(),"逾期","正常"))</x:f>
      </x:c>
      <x:c r="R31" s="63" t="str"/>
      <x:c r="S31" s="63" t="str"/>
      <x:c r="T31" s="63" t="str"/>
      <x:c r="U31" s="64"/>
      <x:c r="V31" s="63" t="str"/>
    </x:row>
    <x:row r="32">
      <x:c r="A32" s="65" t="str">
        <x:v>A-026</x:v>
      </x:c>
      <x:c r="B32" s="65" t="str">
        <x:v>91—180天</x:v>
      </x:c>
      <x:c r="C32" s="65" t="str"/>
      <x:c r="D32" s="65" t="str"/>
      <x:c r="E32" s="63" t="str"/>
      <x:c r="F32" s="63" t="str"/>
      <x:c r="G32" s="63" t="str"/>
      <x:c r="H32" s="63" t="str"/>
      <x:c r="I32" s="63" t="str"/>
      <x:c r="J32" s="64"/>
      <x:c r="K32" s="64"/>
      <x:c r="L32" s="63" t="str"/>
      <x:c r="M32" s="63" t="str"/>
      <x:c r="N32" s="63" t="str">
        <x:v>未开始</x:v>
      </x:c>
      <x:c r="O32" s="75" t="n">
        <x:v>0</x:v>
      </x:c>
      <x:c r="P32" s="64"/>
      <x:c r="Q32" s="70" t="str">
        <x:f>IF(OR(N32="已完成",K32=""),"",IF(K32&lt;TODAY(),"逾期","正常"))</x:f>
      </x:c>
      <x:c r="R32" s="63" t="str"/>
      <x:c r="S32" s="63" t="str"/>
      <x:c r="T32" s="63" t="str"/>
      <x:c r="U32" s="64"/>
      <x:c r="V32" s="63" t="str"/>
    </x:row>
    <x:row r="33">
      <x:c r="A33" s="65" t="str">
        <x:v>A-027</x:v>
      </x:c>
      <x:c r="B33" s="65" t="str">
        <x:v>91—180天</x:v>
      </x:c>
      <x:c r="C33" s="65" t="str"/>
      <x:c r="D33" s="65" t="str"/>
      <x:c r="E33" s="63" t="str"/>
      <x:c r="F33" s="63" t="str"/>
      <x:c r="G33" s="63" t="str"/>
      <x:c r="H33" s="63" t="str"/>
      <x:c r="I33" s="63" t="str"/>
      <x:c r="J33" s="64"/>
      <x:c r="K33" s="64"/>
      <x:c r="L33" s="63" t="str"/>
      <x:c r="M33" s="63" t="str"/>
      <x:c r="N33" s="63" t="str">
        <x:v>未开始</x:v>
      </x:c>
      <x:c r="O33" s="75" t="n">
        <x:v>0</x:v>
      </x:c>
      <x:c r="P33" s="64"/>
      <x:c r="Q33" s="70" t="str">
        <x:f>IF(OR(N33="已完成",K33=""),"",IF(K33&lt;TODAY(),"逾期","正常"))</x:f>
      </x:c>
      <x:c r="R33" s="63" t="str"/>
      <x:c r="S33" s="63" t="str"/>
      <x:c r="T33" s="63" t="str"/>
      <x:c r="U33" s="64"/>
      <x:c r="V33" s="63" t="str"/>
    </x:row>
    <x:row r="34">
      <x:c r="A34" s="65" t="str">
        <x:v>A-028</x:v>
      </x:c>
      <x:c r="B34" s="65" t="str">
        <x:v>91—180天</x:v>
      </x:c>
      <x:c r="C34" s="65" t="str"/>
      <x:c r="D34" s="65" t="str"/>
      <x:c r="E34" s="63" t="str"/>
      <x:c r="F34" s="63" t="str"/>
      <x:c r="G34" s="63" t="str"/>
      <x:c r="H34" s="63" t="str"/>
      <x:c r="I34" s="63" t="str"/>
      <x:c r="J34" s="64"/>
      <x:c r="K34" s="64"/>
      <x:c r="L34" s="63" t="str"/>
      <x:c r="M34" s="63" t="str"/>
      <x:c r="N34" s="63" t="str">
        <x:v>未开始</x:v>
      </x:c>
      <x:c r="O34" s="75" t="n">
        <x:v>0</x:v>
      </x:c>
      <x:c r="P34" s="64"/>
      <x:c r="Q34" s="70" t="str">
        <x:f>IF(OR(N34="已完成",K34=""),"",IF(K34&lt;TODAY(),"逾期","正常"))</x:f>
      </x:c>
      <x:c r="R34" s="63" t="str"/>
      <x:c r="S34" s="63" t="str"/>
      <x:c r="T34" s="63" t="str"/>
      <x:c r="U34" s="64"/>
      <x:c r="V34" s="63" t="str"/>
    </x:row>
    <x:row r="35">
      <x:c r="A35" s="65" t="str">
        <x:v>A-029</x:v>
      </x:c>
      <x:c r="B35" s="65" t="str">
        <x:v>91—180天</x:v>
      </x:c>
      <x:c r="C35" s="65" t="str"/>
      <x:c r="D35" s="65" t="str"/>
      <x:c r="E35" s="63" t="str"/>
      <x:c r="F35" s="63" t="str"/>
      <x:c r="G35" s="63" t="str"/>
      <x:c r="H35" s="63" t="str"/>
      <x:c r="I35" s="63" t="str"/>
      <x:c r="J35" s="64"/>
      <x:c r="K35" s="64"/>
      <x:c r="L35" s="63" t="str"/>
      <x:c r="M35" s="63" t="str"/>
      <x:c r="N35" s="63" t="str">
        <x:v>未开始</x:v>
      </x:c>
      <x:c r="O35" s="75" t="n">
        <x:v>0</x:v>
      </x:c>
      <x:c r="P35" s="64"/>
      <x:c r="Q35" s="70" t="str">
        <x:f>IF(OR(N35="已完成",K35=""),"",IF(K35&lt;TODAY(),"逾期","正常"))</x:f>
      </x:c>
      <x:c r="R35" s="63" t="str"/>
      <x:c r="S35" s="63" t="str"/>
      <x:c r="T35" s="63" t="str"/>
      <x:c r="U35" s="64"/>
      <x:c r="V35" s="63" t="str"/>
    </x:row>
    <x:row r="36">
      <x:c r="A36" s="65" t="str">
        <x:v>A-030</x:v>
      </x:c>
      <x:c r="B36" s="65" t="str">
        <x:v>91—180天</x:v>
      </x:c>
      <x:c r="C36" s="65" t="str"/>
      <x:c r="D36" s="65" t="str"/>
      <x:c r="E36" s="63" t="str"/>
      <x:c r="F36" s="63" t="str"/>
      <x:c r="G36" s="63" t="str"/>
      <x:c r="H36" s="63" t="str"/>
      <x:c r="I36" s="63" t="str"/>
      <x:c r="J36" s="64"/>
      <x:c r="K36" s="64"/>
      <x:c r="L36" s="63" t="str"/>
      <x:c r="M36" s="63" t="str"/>
      <x:c r="N36" s="63" t="str">
        <x:v>未开始</x:v>
      </x:c>
      <x:c r="O36" s="75" t="n">
        <x:v>0</x:v>
      </x:c>
      <x:c r="P36" s="64"/>
      <x:c r="Q36" s="70" t="str">
        <x:f>IF(OR(N36="已完成",K36=""),"",IF(K36&lt;TODAY(),"逾期","正常"))</x:f>
      </x:c>
      <x:c r="R36" s="63" t="str"/>
      <x:c r="S36" s="63" t="str"/>
      <x:c r="T36" s="63" t="str"/>
      <x:c r="U36" s="64"/>
      <x:c r="V36" s="63" t="str"/>
    </x:row>
    <x:row r="37">
      <x:c r="A37" s="65" t="str">
        <x:v>A-031</x:v>
      </x:c>
      <x:c r="B37" s="65" t="str">
        <x:v>91—180天</x:v>
      </x:c>
      <x:c r="C37" s="65" t="str"/>
      <x:c r="D37" s="65" t="str"/>
      <x:c r="E37" s="63" t="str"/>
      <x:c r="F37" s="63" t="str"/>
      <x:c r="G37" s="63" t="str"/>
      <x:c r="H37" s="63" t="str"/>
      <x:c r="I37" s="63" t="str"/>
      <x:c r="J37" s="64"/>
      <x:c r="K37" s="64"/>
      <x:c r="L37" s="63" t="str"/>
      <x:c r="M37" s="63" t="str"/>
      <x:c r="N37" s="63" t="str">
        <x:v>未开始</x:v>
      </x:c>
      <x:c r="O37" s="75" t="n">
        <x:v>0</x:v>
      </x:c>
      <x:c r="P37" s="64"/>
      <x:c r="Q37" s="70" t="str">
        <x:f>IF(OR(N37="已完成",K37=""),"",IF(K37&lt;TODAY(),"逾期","正常"))</x:f>
      </x:c>
      <x:c r="R37" s="63" t="str"/>
      <x:c r="S37" s="63" t="str"/>
      <x:c r="T37" s="63" t="str"/>
      <x:c r="U37" s="64"/>
      <x:c r="V37" s="63" t="str"/>
    </x:row>
    <x:row r="38">
      <x:c r="A38" s="65" t="str">
        <x:v>A-032</x:v>
      </x:c>
      <x:c r="B38" s="65" t="str">
        <x:v>91—180天</x:v>
      </x:c>
      <x:c r="C38" s="65" t="str"/>
      <x:c r="D38" s="65" t="str"/>
      <x:c r="E38" s="63" t="str"/>
      <x:c r="F38" s="63" t="str"/>
      <x:c r="G38" s="63" t="str"/>
      <x:c r="H38" s="63" t="str"/>
      <x:c r="I38" s="63" t="str"/>
      <x:c r="J38" s="64"/>
      <x:c r="K38" s="64"/>
      <x:c r="L38" s="63" t="str"/>
      <x:c r="M38" s="63" t="str"/>
      <x:c r="N38" s="63" t="str">
        <x:v>未开始</x:v>
      </x:c>
      <x:c r="O38" s="75" t="n">
        <x:v>0</x:v>
      </x:c>
      <x:c r="P38" s="64"/>
      <x:c r="Q38" s="70" t="str">
        <x:f>IF(OR(N38="已完成",K38=""),"",IF(K38&lt;TODAY(),"逾期","正常"))</x:f>
      </x:c>
      <x:c r="R38" s="63" t="str"/>
      <x:c r="S38" s="63" t="str"/>
      <x:c r="T38" s="63" t="str"/>
      <x:c r="U38" s="64"/>
      <x:c r="V38" s="63" t="str"/>
    </x:row>
    <x:row r="39">
      <x:c r="A39" s="65" t="str">
        <x:v>A-033</x:v>
      </x:c>
      <x:c r="B39" s="65" t="str">
        <x:v>91—180天</x:v>
      </x:c>
      <x:c r="C39" s="65" t="str"/>
      <x:c r="D39" s="65" t="str"/>
      <x:c r="E39" s="63" t="str"/>
      <x:c r="F39" s="63" t="str"/>
      <x:c r="G39" s="63" t="str"/>
      <x:c r="H39" s="63" t="str"/>
      <x:c r="I39" s="63" t="str"/>
      <x:c r="J39" s="64"/>
      <x:c r="K39" s="64"/>
      <x:c r="L39" s="63" t="str"/>
      <x:c r="M39" s="63" t="str"/>
      <x:c r="N39" s="63" t="str">
        <x:v>未开始</x:v>
      </x:c>
      <x:c r="O39" s="75" t="n">
        <x:v>0</x:v>
      </x:c>
      <x:c r="P39" s="64"/>
      <x:c r="Q39" s="70" t="str">
        <x:f>IF(OR(N39="已完成",K39=""),"",IF(K39&lt;TODAY(),"逾期","正常"))</x:f>
      </x:c>
      <x:c r="R39" s="63" t="str"/>
      <x:c r="S39" s="63" t="str"/>
      <x:c r="T39" s="63" t="str"/>
      <x:c r="U39" s="64"/>
      <x:c r="V39" s="63" t="str"/>
    </x:row>
    <x:row r="40">
      <x:c r="A40" s="65" t="str">
        <x:v>A-034</x:v>
      </x:c>
      <x:c r="B40" s="65" t="str">
        <x:v>91—180天</x:v>
      </x:c>
      <x:c r="C40" s="65" t="str"/>
      <x:c r="D40" s="65" t="str"/>
      <x:c r="E40" s="63" t="str"/>
      <x:c r="F40" s="63" t="str"/>
      <x:c r="G40" s="63" t="str"/>
      <x:c r="H40" s="63" t="str"/>
      <x:c r="I40" s="63" t="str"/>
      <x:c r="J40" s="64"/>
      <x:c r="K40" s="64"/>
      <x:c r="L40" s="63" t="str"/>
      <x:c r="M40" s="63" t="str"/>
      <x:c r="N40" s="63" t="str">
        <x:v>未开始</x:v>
      </x:c>
      <x:c r="O40" s="75" t="n">
        <x:v>0</x:v>
      </x:c>
      <x:c r="P40" s="64"/>
      <x:c r="Q40" s="70" t="str">
        <x:f>IF(OR(N40="已完成",K40=""),"",IF(K40&lt;TODAY(),"逾期","正常"))</x:f>
      </x:c>
      <x:c r="R40" s="63" t="str"/>
      <x:c r="S40" s="63" t="str"/>
      <x:c r="T40" s="63" t="str"/>
      <x:c r="U40" s="64"/>
      <x:c r="V40" s="63" t="str"/>
    </x:row>
    <x:row r="41">
      <x:c r="A41" s="65" t="str">
        <x:v>A-035</x:v>
      </x:c>
      <x:c r="B41" s="65" t="str">
        <x:v>91—180天</x:v>
      </x:c>
      <x:c r="C41" s="65" t="str"/>
      <x:c r="D41" s="65" t="str"/>
      <x:c r="E41" s="63" t="str"/>
      <x:c r="F41" s="63" t="str"/>
      <x:c r="G41" s="63" t="str"/>
      <x:c r="H41" s="63" t="str"/>
      <x:c r="I41" s="63" t="str"/>
      <x:c r="J41" s="64"/>
      <x:c r="K41" s="64"/>
      <x:c r="L41" s="63" t="str"/>
      <x:c r="M41" s="63" t="str"/>
      <x:c r="N41" s="63" t="str">
        <x:v>未开始</x:v>
      </x:c>
      <x:c r="O41" s="75" t="n">
        <x:v>0</x:v>
      </x:c>
      <x:c r="P41" s="64"/>
      <x:c r="Q41" s="70" t="str">
        <x:f>IF(OR(N41="已完成",K41=""),"",IF(K41&lt;TODAY(),"逾期","正常"))</x:f>
      </x:c>
      <x:c r="R41" s="63" t="str"/>
      <x:c r="S41" s="63" t="str"/>
      <x:c r="T41" s="63" t="str"/>
      <x:c r="U41" s="64"/>
      <x:c r="V41" s="63" t="str"/>
    </x:row>
    <x:row r="42">
      <x:c r="A42" s="65" t="str">
        <x:v>A-036</x:v>
      </x:c>
      <x:c r="B42" s="65" t="str">
        <x:v>91—180天</x:v>
      </x:c>
      <x:c r="C42" s="65" t="str"/>
      <x:c r="D42" s="65" t="str"/>
      <x:c r="E42" s="63" t="str"/>
      <x:c r="F42" s="63" t="str"/>
      <x:c r="G42" s="63" t="str"/>
      <x:c r="H42" s="63" t="str"/>
      <x:c r="I42" s="63" t="str"/>
      <x:c r="J42" s="64"/>
      <x:c r="K42" s="64"/>
      <x:c r="L42" s="63" t="str"/>
      <x:c r="M42" s="63" t="str"/>
      <x:c r="N42" s="63" t="str">
        <x:v>未开始</x:v>
      </x:c>
      <x:c r="O42" s="75" t="n">
        <x:v>0</x:v>
      </x:c>
      <x:c r="P42" s="64"/>
      <x:c r="Q42" s="70" t="str">
        <x:f>IF(OR(N42="已完成",K42=""),"",IF(K42&lt;TODAY(),"逾期","正常"))</x:f>
      </x:c>
      <x:c r="R42" s="63" t="str"/>
      <x:c r="S42" s="63" t="str"/>
      <x:c r="T42" s="63" t="str"/>
      <x:c r="U42" s="64"/>
      <x:c r="V42" s="63" t="str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</x:row>
    <x:row r="45" ht="22" customHeight="1">
      <x:c r="A45" s="12" t="str">
        <x:v>阶段看板（自动）</x:v>
      </x:c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</x:row>
    <x:row r="46" ht="30" customHeight="1">
      <x:c r="A46" s="17" t="str">
        <x:v>阶段</x:v>
      </x:c>
      <x:c r="B46" s="17" t="str">
        <x:v>任务数</x:v>
      </x:c>
      <x:c r="C46" s="17" t="str">
        <x:v>已完成</x:v>
      </x:c>
      <x:c r="D46" s="17" t="str">
        <x:v>进行中/待办</x:v>
      </x:c>
      <x:c r="E46" s="17" t="str">
        <x:v>逾期</x:v>
      </x:c>
      <x:c r="F46" s="17" t="str">
        <x:v>平均进度</x:v>
      </x:c>
      <x:c r="G46" s="17" t="str">
        <x:v>关键复盘结论</x:v>
      </x:c>
      <x:c r="H46" s="17" t="str"/>
      <x:c r="I46" s="17" t="str"/>
      <x:c r="J46" s="17" t="str"/>
      <x:c r="K46" s="17" t="str"/>
      <x:c r="L46" s="17" t="str"/>
      <x:c r="M46" s="17" t="str"/>
      <x:c r="N46" s="17" t="str"/>
      <x:c r="O46" s="17" t="str"/>
      <x:c r="P46" s="17" t="str"/>
      <x:c r="Q46" s="17" t="str"/>
      <x:c r="R46" s="17" t="str"/>
      <x:c r="S46" s="17" t="str"/>
      <x:c r="T46" s="17" t="str"/>
      <x:c r="U46" s="17" t="str"/>
      <x:c r="V46" s="17" t="str"/>
    </x:row>
    <x:row r="47">
      <x:c r="A47" s="61" t="str">
        <x:v>0—30天</x:v>
      </x:c>
      <x:c r="B47" s="70" t="n">
        <x:f>COUNTIF(B7:B42,A47)</x:f>
        <x:v>12</x:v>
      </x:c>
      <x:c r="C47" s="70" t="n">
        <x:f>COUNTIFS(B7:B42,A47,N7:N42,"已完成")</x:f>
        <x:v>0</x:v>
      </x:c>
      <x:c r="D47" s="70" t="n">
        <x:f>COUNTIFS(B7:B42,A47,N7:N42,"&lt;&gt;已完成",N7:N42,"&lt;&gt;已取消")</x:f>
        <x:v>12</x:v>
      </x:c>
      <x:c r="E47" s="70" t="n">
        <x:f>COUNTIFS(B7:B42,A47,Q7:Q42,"逾期")</x:f>
        <x:v>0</x:v>
      </x:c>
      <x:c r="F47" s="76" t="n">
        <x:f>IFERROR(AVERAGEIF(B7:B42,A47,O7:O42),0)</x:f>
        <x:v>0</x:v>
      </x:c>
      <x:c r="G47" s="63" t="str">
        <x:v>〔填写〕</x:v>
      </x:c>
      <x:c r="H47" s="63" t="str"/>
      <x:c r="I47" s="63" t="str"/>
      <x:c r="J47" s="63" t="str"/>
      <x:c r="K47" s="63" t="str"/>
      <x:c r="L47" s="63" t="str"/>
      <x:c r="M47" s="63" t="str"/>
      <x:c r="N47" s="63" t="str"/>
      <x:c r="O47" s="63" t="str"/>
      <x:c r="P47" s="63" t="str"/>
      <x:c r="Q47" s="63" t="str"/>
      <x:c r="R47" s="63" t="str"/>
      <x:c r="S47" s="63" t="str"/>
      <x:c r="T47" s="63" t="str"/>
      <x:c r="U47" s="63" t="str"/>
      <x:c r="V47" s="63" t="str"/>
    </x:row>
    <x:row r="48">
      <x:c r="A48" s="61" t="str">
        <x:v>31—90天</x:v>
      </x:c>
      <x:c r="B48" s="70" t="n">
        <x:f>COUNTIF(B7:B42,A48)</x:f>
        <x:v>12</x:v>
      </x:c>
      <x:c r="C48" s="70" t="n">
        <x:f>COUNTIFS(B7:B42,A48,N7:N42,"已完成")</x:f>
        <x:v>0</x:v>
      </x:c>
      <x:c r="D48" s="70" t="n">
        <x:f>COUNTIFS(B7:B42,A48,N7:N42,"&lt;&gt;已完成",N7:N42,"&lt;&gt;已取消")</x:f>
        <x:v>12</x:v>
      </x:c>
      <x:c r="E48" s="70" t="n">
        <x:f>COUNTIFS(B7:B42,A48,Q7:Q42,"逾期")</x:f>
        <x:v>0</x:v>
      </x:c>
      <x:c r="F48" s="76" t="n">
        <x:f>IFERROR(AVERAGEIF(B7:B42,A48,O7:O42),0)</x:f>
        <x:v>0</x:v>
      </x:c>
      <x:c r="G48" s="63" t="str">
        <x:v>〔填写〕</x:v>
      </x:c>
      <x:c r="H48" s="63" t="str"/>
      <x:c r="I48" s="63" t="str"/>
      <x:c r="J48" s="63" t="str"/>
      <x:c r="K48" s="63" t="str"/>
      <x:c r="L48" s="63" t="str"/>
      <x:c r="M48" s="63" t="str"/>
      <x:c r="N48" s="63" t="str"/>
      <x:c r="O48" s="63" t="str"/>
      <x:c r="P48" s="63" t="str"/>
      <x:c r="Q48" s="63" t="str"/>
      <x:c r="R48" s="63" t="str"/>
      <x:c r="S48" s="63" t="str"/>
      <x:c r="T48" s="63" t="str"/>
      <x:c r="U48" s="63" t="str"/>
      <x:c r="V48" s="63" t="str"/>
    </x:row>
    <x:row r="49">
      <x:c r="A49" s="61" t="str">
        <x:v>91—180天</x:v>
      </x:c>
      <x:c r="B49" s="70" t="n">
        <x:f>COUNTIF(B7:B42,A49)</x:f>
        <x:v>12</x:v>
      </x:c>
      <x:c r="C49" s="70" t="n">
        <x:f>COUNTIFS(B7:B42,A49,N7:N42,"已完成")</x:f>
        <x:v>0</x:v>
      </x:c>
      <x:c r="D49" s="70" t="n">
        <x:f>COUNTIFS(B7:B42,A49,N7:N42,"&lt;&gt;已完成",N7:N42,"&lt;&gt;已取消")</x:f>
        <x:v>12</x:v>
      </x:c>
      <x:c r="E49" s="70" t="n">
        <x:f>COUNTIFS(B7:B42,A49,Q7:Q42,"逾期")</x:f>
        <x:v>0</x:v>
      </x:c>
      <x:c r="F49" s="76" t="n">
        <x:f>IFERROR(AVERAGEIF(B7:B42,A49,O7:O42),0)</x:f>
        <x:v>0</x:v>
      </x:c>
      <x:c r="G49" s="63" t="str">
        <x:v>〔填写〕</x:v>
      </x:c>
      <x:c r="H49" s="63" t="str"/>
      <x:c r="I49" s="63" t="str"/>
      <x:c r="J49" s="63" t="str"/>
      <x:c r="K49" s="63" t="str"/>
      <x:c r="L49" s="63" t="str"/>
      <x:c r="M49" s="63" t="str"/>
      <x:c r="N49" s="63" t="str"/>
      <x:c r="O49" s="63" t="str"/>
      <x:c r="P49" s="63" t="str"/>
      <x:c r="Q49" s="63" t="str"/>
      <x:c r="R49" s="63" t="str"/>
      <x:c r="S49" s="63" t="str"/>
      <x:c r="T49" s="63" t="str"/>
      <x:c r="U49" s="63" t="str"/>
      <x:c r="V49" s="63" t="str"/>
    </x:row>
  </x:sheetData>
  <x:mergeCells>
    <x:mergeCell ref="A1:V1"/>
    <x:mergeCell ref="A2:V2"/>
    <x:mergeCell ref="J3:V3"/>
    <x:mergeCell ref="B4:C4"/>
    <x:mergeCell ref="E4:V4"/>
    <x:mergeCell ref="A45:V45"/>
    <x:mergeCell ref="G46:V46"/>
    <x:mergeCell ref="G47:V47"/>
    <x:mergeCell ref="G48:V48"/>
    <x:mergeCell ref="G49:V49"/>
  </x:mergeCells>
  <x:conditionalFormatting sqref="Q7:Q42">
    <x:cfRule type="containsText" dxfId="2" priority="1" operator="containsText" text="逾期"/>
  </x:conditionalFormatting>
  <x:dataValidations count="3">
    <x:dataValidation type="list" sqref="B7:B42">
      <x:formula1>"0—30天,31—90天,91—180天"</x:formula1>
    </x:dataValidation>
    <x:dataValidation type="list" sqref="N7:N42">
      <x:formula1>"未开始,进行中,待客户,待审批,受阻,已完成,已取消"</x:formula1>
    </x:dataValidation>
    <x:dataValidation type="decimal" operator="between" sqref="O7:O42">
      <x:formula1>0</x:formula1>
      <x:formula2>1</x:formula2>
    </x:dataValidation>
  </x:dataValidations>
  <x:pageMargins left="0.7" right="0.7" top="0.75" bottom="0.75" header="0.3" footer="0.3"/>
</x:worksheet>
</file>